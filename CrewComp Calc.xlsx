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Projects\crewcomp-calc\"/>
    </mc:Choice>
  </mc:AlternateContent>
  <xr:revisionPtr revIDLastSave="0" documentId="13_ncr:1_{A9888B5F-B2CB-455E-9B2B-D3F01A4BF3C8}" xr6:coauthVersionLast="47" xr6:coauthVersionMax="47" xr10:uidLastSave="{00000000-0000-0000-0000-000000000000}"/>
  <bookViews>
    <workbookView xWindow="-120" yWindow="-120" windowWidth="24240" windowHeight="13140" xr2:uid="{0C5801AE-A03A-4C41-BCD0-9A8590149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8" i="1" l="1"/>
  <c r="AG7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J5" i="1"/>
  <c r="J33" i="1" s="1"/>
  <c r="J6" i="1"/>
  <c r="K6" i="1" s="1"/>
  <c r="J7" i="1"/>
  <c r="K7" i="1" s="1"/>
  <c r="J8" i="1"/>
  <c r="K8" i="1" s="1"/>
  <c r="J9" i="1"/>
  <c r="K9" i="1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4" i="1"/>
  <c r="K4" i="1" s="1"/>
  <c r="F4" i="1"/>
  <c r="G4" i="1" s="1"/>
  <c r="F5" i="1"/>
  <c r="G5" i="1" s="1"/>
  <c r="F6" i="1"/>
  <c r="G6" i="1" s="1"/>
  <c r="F7" i="1"/>
  <c r="G7" i="1" s="1"/>
  <c r="F8" i="1"/>
  <c r="L8" i="1" s="1"/>
  <c r="F9" i="1"/>
  <c r="G9" i="1" s="1"/>
  <c r="L9" i="1"/>
  <c r="G10" i="1"/>
  <c r="G13" i="1"/>
  <c r="G18" i="1"/>
  <c r="G22" i="1"/>
  <c r="G26" i="1"/>
  <c r="L30" i="1"/>
  <c r="L26" i="1"/>
  <c r="F24" i="1"/>
  <c r="H24" i="1" s="1"/>
  <c r="I24" i="1" s="1"/>
  <c r="F25" i="1"/>
  <c r="H25" i="1" s="1"/>
  <c r="I25" i="1" s="1"/>
  <c r="F26" i="1"/>
  <c r="H26" i="1" s="1"/>
  <c r="I26" i="1" s="1"/>
  <c r="F27" i="1"/>
  <c r="H27" i="1" s="1"/>
  <c r="I27" i="1" s="1"/>
  <c r="F28" i="1"/>
  <c r="H28" i="1" s="1"/>
  <c r="I28" i="1" s="1"/>
  <c r="F29" i="1"/>
  <c r="H29" i="1" s="1"/>
  <c r="I29" i="1" s="1"/>
  <c r="F30" i="1"/>
  <c r="H30" i="1" s="1"/>
  <c r="I30" i="1" s="1"/>
  <c r="F31" i="1"/>
  <c r="L31" i="1" s="1"/>
  <c r="F32" i="1"/>
  <c r="L32" i="1" s="1"/>
  <c r="L13" i="1"/>
  <c r="L14" i="1"/>
  <c r="F10" i="1"/>
  <c r="L10" i="1" s="1"/>
  <c r="F11" i="1"/>
  <c r="H11" i="1" s="1"/>
  <c r="I11" i="1" s="1"/>
  <c r="F12" i="1"/>
  <c r="H12" i="1" s="1"/>
  <c r="I12" i="1" s="1"/>
  <c r="F13" i="1"/>
  <c r="H13" i="1" s="1"/>
  <c r="I13" i="1" s="1"/>
  <c r="F14" i="1"/>
  <c r="H14" i="1" s="1"/>
  <c r="I14" i="1" s="1"/>
  <c r="F15" i="1"/>
  <c r="H15" i="1" s="1"/>
  <c r="I15" i="1" s="1"/>
  <c r="F16" i="1"/>
  <c r="H16" i="1" s="1"/>
  <c r="I16" i="1" s="1"/>
  <c r="F17" i="1"/>
  <c r="H17" i="1" s="1"/>
  <c r="I17" i="1" s="1"/>
  <c r="F18" i="1"/>
  <c r="L18" i="1" s="1"/>
  <c r="F19" i="1"/>
  <c r="L19" i="1" s="1"/>
  <c r="F20" i="1"/>
  <c r="H20" i="1" s="1"/>
  <c r="I20" i="1" s="1"/>
  <c r="F21" i="1"/>
  <c r="H21" i="1" s="1"/>
  <c r="I21" i="1" s="1"/>
  <c r="F22" i="1"/>
  <c r="L22" i="1" s="1"/>
  <c r="F23" i="1"/>
  <c r="H23" i="1" s="1"/>
  <c r="I23" i="1" s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L5" i="1" l="1"/>
  <c r="K5" i="1"/>
  <c r="K33" i="1" s="1"/>
  <c r="L7" i="1"/>
  <c r="L4" i="1"/>
  <c r="L33" i="1" s="1"/>
  <c r="H9" i="1"/>
  <c r="I9" i="1" s="1"/>
  <c r="G8" i="1"/>
  <c r="L6" i="1"/>
  <c r="G14" i="1"/>
  <c r="L21" i="1"/>
  <c r="L20" i="1"/>
  <c r="L17" i="1"/>
  <c r="G31" i="1"/>
  <c r="G30" i="1"/>
  <c r="G21" i="1"/>
  <c r="H4" i="1"/>
  <c r="G19" i="1"/>
  <c r="L16" i="1"/>
  <c r="L29" i="1"/>
  <c r="L15" i="1"/>
  <c r="G32" i="1"/>
  <c r="G20" i="1"/>
  <c r="H22" i="1"/>
  <c r="I22" i="1" s="1"/>
  <c r="H10" i="1"/>
  <c r="I10" i="1" s="1"/>
  <c r="H32" i="1"/>
  <c r="I32" i="1" s="1"/>
  <c r="H8" i="1"/>
  <c r="I8" i="1" s="1"/>
  <c r="H31" i="1"/>
  <c r="I31" i="1" s="1"/>
  <c r="H19" i="1"/>
  <c r="I19" i="1" s="1"/>
  <c r="H7" i="1"/>
  <c r="I7" i="1" s="1"/>
  <c r="L23" i="1"/>
  <c r="L11" i="1"/>
  <c r="L28" i="1"/>
  <c r="G28" i="1"/>
  <c r="G16" i="1"/>
  <c r="H18" i="1"/>
  <c r="I18" i="1" s="1"/>
  <c r="H6" i="1"/>
  <c r="I6" i="1" s="1"/>
  <c r="L12" i="1"/>
  <c r="L24" i="1"/>
  <c r="G29" i="1"/>
  <c r="G17" i="1"/>
  <c r="L27" i="1"/>
  <c r="G27" i="1"/>
  <c r="G15" i="1"/>
  <c r="H5" i="1"/>
  <c r="I5" i="1" s="1"/>
  <c r="L25" i="1"/>
  <c r="G25" i="1"/>
  <c r="G24" i="1"/>
  <c r="G12" i="1"/>
  <c r="G23" i="1"/>
  <c r="G11" i="1"/>
  <c r="F33" i="1"/>
  <c r="AG9" i="1" l="1"/>
  <c r="AG10" i="1" s="1"/>
  <c r="AG11" i="1" s="1"/>
  <c r="I4" i="1"/>
  <c r="H33" i="1"/>
  <c r="I33" i="1" s="1"/>
  <c r="G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tc={8A315B0C-E41D-4695-97E1-7C45483FD6C5}</author>
    <author>tc={8B572B1D-11C1-4D35-AAFC-5255B2C1FC82}</author>
    <author>tc={32CEDE7E-8E10-4490-A937-4AD053AE495B}</author>
    <author>tc={B94DD299-85B3-48B3-9D6F-2FD7A32083A7}</author>
    <author>Ryzen 5</author>
    <author>tc={732E0880-F540-49A7-81CD-57BE99696A18}</author>
  </authors>
  <commentList>
    <comment ref="F3" authorId="0" shapeId="0" xr:uid="{8A315B0C-E41D-4695-97E1-7C45483FD6C5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work hours usually in mcdo is maximum 6 hours for full time
</t>
        </r>
      </text>
    </comment>
    <comment ref="G3" authorId="1" shapeId="0" xr:uid="{8B572B1D-11C1-4D35-AAFC-5255B2C1FC8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Need conditional statement</t>
        </r>
      </text>
    </comment>
    <comment ref="H3" authorId="2" shapeId="0" xr:uid="{32CEDE7E-8E10-4490-A937-4AD053AE495B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 not confused in the daily rate-based since there is an night differential </t>
        </r>
      </text>
    </comment>
    <comment ref="L3" authorId="3" shapeId="0" xr:uid="{B94DD299-85B3-48B3-9D6F-2FD7A32083A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The 10% night differential is included here.</t>
        </r>
      </text>
    </comment>
    <comment ref="AG7" authorId="4" shapeId="0" xr:uid="{1C484BB4-6AC3-4175-9E50-F543C0162EAB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Philheath Deduction 2.5%</t>
        </r>
      </text>
    </comment>
    <comment ref="AG8" authorId="4" shapeId="0" xr:uid="{385D903A-D136-4BDC-8010-5838544E64C7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SSS Deduction 4.5&amp;
</t>
        </r>
      </text>
    </comment>
    <comment ref="AG9" authorId="4" shapeId="0" xr:uid="{2126E073-B95B-4F50-B740-7C9BC26892C4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PAGIBIG DEDUCTION 2%
</t>
        </r>
      </text>
    </comment>
    <comment ref="AG10" authorId="4" shapeId="0" xr:uid="{1386047F-C6F5-4E34-8D69-D5106AD70CD1}">
      <text>
        <r>
          <rPr>
            <b/>
            <sz val="9"/>
            <color indexed="81"/>
            <rFont val="Tahoma"/>
            <family val="2"/>
          </rPr>
          <t>Ryzen 5:</t>
        </r>
        <r>
          <rPr>
            <sz val="9"/>
            <color indexed="81"/>
            <rFont val="Tahoma"/>
            <family val="2"/>
          </rPr>
          <t xml:space="preserve">
Total Deductions
</t>
        </r>
      </text>
    </comment>
    <comment ref="AG11" authorId="4" shapeId="0" xr:uid="{83E4F867-5778-4D73-BB88-3436E1CAC9A3}">
      <text>
        <r>
          <rPr>
            <b/>
            <sz val="9"/>
            <color indexed="81"/>
            <rFont val="Tahoma"/>
            <family val="2"/>
          </rPr>
          <t xml:space="preserve">Ryzen 5:
</t>
        </r>
        <r>
          <rPr>
            <sz val="9"/>
            <color indexed="81"/>
            <rFont val="Tahoma"/>
            <family val="2"/>
          </rPr>
          <t xml:space="preserve">NET PAY
</t>
        </r>
      </text>
    </comment>
    <comment ref="L33" authorId="5" shapeId="0" xr:uid="{732E0880-F540-49A7-81CD-57BE99696A18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Gross Salary
</t>
        </r>
      </text>
    </comment>
  </commentList>
</comments>
</file>

<file path=xl/sharedStrings.xml><?xml version="1.0" encoding="utf-8"?>
<sst xmlns="http://schemas.openxmlformats.org/spreadsheetml/2006/main" count="15" uniqueCount="15">
  <si>
    <t xml:space="preserve">Day </t>
  </si>
  <si>
    <t xml:space="preserve">Date </t>
  </si>
  <si>
    <t xml:space="preserve">Check-In </t>
  </si>
  <si>
    <t>Check-Out</t>
  </si>
  <si>
    <t xml:space="preserve">Hours Worked </t>
  </si>
  <si>
    <t>Extended Hours</t>
  </si>
  <si>
    <t>Month</t>
  </si>
  <si>
    <t>SALARY CALCULATOR</t>
  </si>
  <si>
    <t>Total of OT</t>
  </si>
  <si>
    <t>Overtime Rate</t>
  </si>
  <si>
    <t>Total of ND</t>
  </si>
  <si>
    <t>Rate of ND</t>
  </si>
  <si>
    <t>Gross Daily Pay</t>
  </si>
  <si>
    <t>PAYSLIP</t>
  </si>
  <si>
    <t>This idea is designed and made by: Angela Bajan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</si>
</sst>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h:mm:ss;@"/>
    <numFmt numFmtId="166" formatCode="0.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indexed="81"/>
      <name val="Tahoma"/>
      <family val="2"/>
    </font>
    <font>
      <sz val="10"/>
      <color theme="1"/>
      <name val="Arial Unicode MS"/>
    </font>
    <font>
      <b/>
      <sz val="16"/>
      <color theme="1"/>
      <name val="Times New Roman"/>
      <family val="1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747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3DB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3" fillId="2" borderId="0" xfId="0" applyFont="1" applyFill="1"/>
    <xf numFmtId="0" fontId="0" fillId="2" borderId="0" xfId="0" applyFill="1"/>
    <xf numFmtId="165" fontId="0" fillId="0" borderId="0" xfId="0" applyNumberFormat="1"/>
    <xf numFmtId="164" fontId="2" fillId="3" borderId="0" xfId="1" applyFont="1" applyFill="1"/>
    <xf numFmtId="164" fontId="5" fillId="0" borderId="0" xfId="1" applyFont="1"/>
    <xf numFmtId="166" fontId="0" fillId="0" borderId="0" xfId="0" applyNumberFormat="1"/>
    <xf numFmtId="1" fontId="0" fillId="0" borderId="0" xfId="0" applyNumberFormat="1"/>
    <xf numFmtId="0" fontId="2" fillId="5" borderId="0" xfId="0" applyFont="1" applyFill="1"/>
    <xf numFmtId="166" fontId="2" fillId="5" borderId="0" xfId="0" applyNumberFormat="1" applyFont="1" applyFill="1"/>
    <xf numFmtId="164" fontId="0" fillId="0" borderId="0" xfId="0" applyNumberFormat="1"/>
    <xf numFmtId="2" fontId="0" fillId="0" borderId="0" xfId="0" applyNumberFormat="1"/>
    <xf numFmtId="1" fontId="5" fillId="0" borderId="0" xfId="0" applyNumberFormat="1" applyFont="1"/>
    <xf numFmtId="164" fontId="8" fillId="6" borderId="0" xfId="0" applyNumberFormat="1" applyFont="1" applyFill="1"/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2</xdr:row>
      <xdr:rowOff>38101</xdr:rowOff>
    </xdr:from>
    <xdr:to>
      <xdr:col>15</xdr:col>
      <xdr:colOff>28575</xdr:colOff>
      <xdr:row>3</xdr:row>
      <xdr:rowOff>57151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E04391-162F-25E2-91C7-377AD5E78773}"/>
            </a:ext>
          </a:extLst>
        </xdr:cNvPr>
        <xdr:cNvSpPr txBox="1"/>
      </xdr:nvSpPr>
      <xdr:spPr>
        <a:xfrm>
          <a:off x="8715375" y="419101"/>
          <a:ext cx="1238250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PH" sz="1100" b="1" u="sng"/>
            <a:t>Income</a:t>
          </a:r>
          <a:r>
            <a:rPr lang="en-PH" sz="1100" b="1" u="sng" baseline="0"/>
            <a:t> Details</a:t>
          </a:r>
          <a:endParaRPr lang="en-PH" sz="1100" b="1" u="sng"/>
        </a:p>
      </xdr:txBody>
    </xdr:sp>
    <xdr:clientData/>
  </xdr:twoCellAnchor>
  <xdr:twoCellAnchor>
    <xdr:from>
      <xdr:col>16</xdr:col>
      <xdr:colOff>485775</xdr:colOff>
      <xdr:row>2</xdr:row>
      <xdr:rowOff>57151</xdr:rowOff>
    </xdr:from>
    <xdr:to>
      <xdr:col>17</xdr:col>
      <xdr:colOff>496302</xdr:colOff>
      <xdr:row>3</xdr:row>
      <xdr:rowOff>76201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3C5CF1D-AAF6-4692-80BE-1156D2D25525}"/>
            </a:ext>
          </a:extLst>
        </xdr:cNvPr>
        <xdr:cNvSpPr txBox="1"/>
      </xdr:nvSpPr>
      <xdr:spPr>
        <a:xfrm>
          <a:off x="11038472" y="438151"/>
          <a:ext cx="622133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PH" sz="1100" b="1" u="none"/>
            <a:t>Hours</a:t>
          </a:r>
        </a:p>
      </xdr:txBody>
    </xdr:sp>
    <xdr:clientData/>
  </xdr:twoCellAnchor>
  <xdr:twoCellAnchor>
    <xdr:from>
      <xdr:col>19</xdr:col>
      <xdr:colOff>133351</xdr:colOff>
      <xdr:row>2</xdr:row>
      <xdr:rowOff>76201</xdr:rowOff>
    </xdr:from>
    <xdr:to>
      <xdr:col>20</xdr:col>
      <xdr:colOff>486278</xdr:colOff>
      <xdr:row>3</xdr:row>
      <xdr:rowOff>95251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C16A970-8F94-4DD2-9A19-1456393078E3}"/>
            </a:ext>
          </a:extLst>
        </xdr:cNvPr>
        <xdr:cNvSpPr txBox="1"/>
      </xdr:nvSpPr>
      <xdr:spPr>
        <a:xfrm>
          <a:off x="12520864" y="457201"/>
          <a:ext cx="964532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PH" sz="1100" b="1" u="none"/>
            <a:t>Amount</a:t>
          </a:r>
        </a:p>
      </xdr:txBody>
    </xdr:sp>
    <xdr:clientData/>
  </xdr:twoCellAnchor>
  <xdr:twoCellAnchor>
    <xdr:from>
      <xdr:col>13</xdr:col>
      <xdr:colOff>19050</xdr:colOff>
      <xdr:row>4</xdr:row>
      <xdr:rowOff>9525</xdr:rowOff>
    </xdr:from>
    <xdr:to>
      <xdr:col>15</xdr:col>
      <xdr:colOff>267891</xdr:colOff>
      <xdr:row>5</xdr:row>
      <xdr:rowOff>28575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EC55B61-5699-40ED-BE62-CC294260A198}"/>
            </a:ext>
          </a:extLst>
        </xdr:cNvPr>
        <xdr:cNvSpPr txBox="1"/>
      </xdr:nvSpPr>
      <xdr:spPr>
        <a:xfrm>
          <a:off x="8716566" y="771525"/>
          <a:ext cx="1463278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PH" sz="1100" b="0" u="none"/>
            <a:t>BASIC</a:t>
          </a:r>
          <a:r>
            <a:rPr lang="en-PH" sz="1100" b="0" u="none" baseline="0"/>
            <a:t> PAY</a:t>
          </a:r>
          <a:endParaRPr lang="en-PH" sz="1100" b="0" u="none"/>
        </a:p>
      </xdr:txBody>
    </xdr:sp>
    <xdr:clientData/>
  </xdr:twoCellAnchor>
  <xdr:twoCellAnchor>
    <xdr:from>
      <xdr:col>13</xdr:col>
      <xdr:colOff>10716</xdr:colOff>
      <xdr:row>6</xdr:row>
      <xdr:rowOff>1191</xdr:rowOff>
    </xdr:from>
    <xdr:to>
      <xdr:col>15</xdr:col>
      <xdr:colOff>259557</xdr:colOff>
      <xdr:row>7</xdr:row>
      <xdr:rowOff>20241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5E95130-8825-497D-B4E2-3D2A9A3732D7}"/>
            </a:ext>
          </a:extLst>
        </xdr:cNvPr>
        <xdr:cNvSpPr txBox="1"/>
      </xdr:nvSpPr>
      <xdr:spPr>
        <a:xfrm>
          <a:off x="8708232" y="1144191"/>
          <a:ext cx="1463278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PH" sz="1100" b="0" u="none"/>
            <a:t>OT REGULAR</a:t>
          </a:r>
          <a:r>
            <a:rPr lang="en-PH" sz="1100" b="0" u="none" baseline="0"/>
            <a:t> FIRST 8 </a:t>
          </a:r>
          <a:endParaRPr lang="en-PH" sz="1100" b="0" u="none"/>
        </a:p>
      </xdr:txBody>
    </xdr:sp>
    <xdr:clientData/>
  </xdr:twoCellAnchor>
  <xdr:twoCellAnchor>
    <xdr:from>
      <xdr:col>13</xdr:col>
      <xdr:colOff>23813</xdr:colOff>
      <xdr:row>7</xdr:row>
      <xdr:rowOff>184547</xdr:rowOff>
    </xdr:from>
    <xdr:to>
      <xdr:col>15</xdr:col>
      <xdr:colOff>517922</xdr:colOff>
      <xdr:row>9</xdr:row>
      <xdr:rowOff>13097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0EEEFD8-7E2E-4D5F-B85A-71F0D916C05F}"/>
            </a:ext>
          </a:extLst>
        </xdr:cNvPr>
        <xdr:cNvSpPr txBox="1"/>
      </xdr:nvSpPr>
      <xdr:spPr>
        <a:xfrm>
          <a:off x="8721329" y="1518047"/>
          <a:ext cx="1708546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PH" sz="1100" b="0" u="none"/>
            <a:t>ND ON A REGULAR DAY</a:t>
          </a:r>
        </a:p>
      </xdr:txBody>
    </xdr:sp>
    <xdr:clientData/>
  </xdr:twoCellAnchor>
  <xdr:twoCellAnchor>
    <xdr:from>
      <xdr:col>13</xdr:col>
      <xdr:colOff>32845</xdr:colOff>
      <xdr:row>16</xdr:row>
      <xdr:rowOff>0</xdr:rowOff>
    </xdr:from>
    <xdr:to>
      <xdr:col>15</xdr:col>
      <xdr:colOff>526954</xdr:colOff>
      <xdr:row>17</xdr:row>
      <xdr:rowOff>19050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ABE7D50-E04B-4EF8-BA14-7E338F83AAAE}"/>
            </a:ext>
          </a:extLst>
        </xdr:cNvPr>
        <xdr:cNvSpPr txBox="1"/>
      </xdr:nvSpPr>
      <xdr:spPr>
        <a:xfrm>
          <a:off x="8749862" y="3048000"/>
          <a:ext cx="1715937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PH" sz="1100" b="1" u="none"/>
            <a:t>TOTAL EARNINGS:</a:t>
          </a:r>
        </a:p>
      </xdr:txBody>
    </xdr:sp>
    <xdr:clientData/>
  </xdr:twoCellAnchor>
  <xdr:twoCellAnchor>
    <xdr:from>
      <xdr:col>16</xdr:col>
      <xdr:colOff>453259</xdr:colOff>
      <xdr:row>4</xdr:row>
      <xdr:rowOff>6569</xdr:rowOff>
    </xdr:from>
    <xdr:to>
      <xdr:col>18</xdr:col>
      <xdr:colOff>131380</xdr:colOff>
      <xdr:row>5</xdr:row>
      <xdr:rowOff>25619</xdr:rowOff>
    </xdr:to>
    <xdr:sp macro="" textlink="$F$33">
      <xdr:nvSpPr>
        <xdr:cNvPr id="10" name="TextBox 9">
          <a:extLst>
            <a:ext uri="{FF2B5EF4-FFF2-40B4-BE49-F238E27FC236}">
              <a16:creationId xmlns:a16="http://schemas.microsoft.com/office/drawing/2014/main" id="{B1CF6D78-C423-4768-9F2E-8820C4E31B01}"/>
            </a:ext>
          </a:extLst>
        </xdr:cNvPr>
        <xdr:cNvSpPr txBox="1"/>
      </xdr:nvSpPr>
      <xdr:spPr>
        <a:xfrm>
          <a:off x="11003018" y="768569"/>
          <a:ext cx="899948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8489E127-9E04-4579-99A3-83B1815B41E3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0.0</a:t>
          </a:fld>
          <a:endParaRPr lang="en-US" sz="1100" b="1" u="none"/>
        </a:p>
      </xdr:txBody>
    </xdr:sp>
    <xdr:clientData/>
  </xdr:twoCellAnchor>
  <xdr:twoCellAnchor>
    <xdr:from>
      <xdr:col>16</xdr:col>
      <xdr:colOff>476907</xdr:colOff>
      <xdr:row>5</xdr:row>
      <xdr:rowOff>172107</xdr:rowOff>
    </xdr:from>
    <xdr:to>
      <xdr:col>17</xdr:col>
      <xdr:colOff>476908</xdr:colOff>
      <xdr:row>7</xdr:row>
      <xdr:rowOff>657</xdr:rowOff>
    </xdr:to>
    <xdr:sp macro="" textlink="$H$33">
      <xdr:nvSpPr>
        <xdr:cNvPr id="11" name="TextBox 10">
          <a:extLst>
            <a:ext uri="{FF2B5EF4-FFF2-40B4-BE49-F238E27FC236}">
              <a16:creationId xmlns:a16="http://schemas.microsoft.com/office/drawing/2014/main" id="{DC9ABA91-35C4-4D24-802B-42D767E09324}"/>
            </a:ext>
          </a:extLst>
        </xdr:cNvPr>
        <xdr:cNvSpPr txBox="1"/>
      </xdr:nvSpPr>
      <xdr:spPr>
        <a:xfrm>
          <a:off x="10963932" y="1124607"/>
          <a:ext cx="609601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E603295C-8129-4593-BED8-1A203D335404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0</a:t>
          </a:fld>
          <a:endParaRPr lang="en-US" sz="1100" b="1" u="none"/>
        </a:p>
      </xdr:txBody>
    </xdr:sp>
    <xdr:clientData/>
  </xdr:twoCellAnchor>
  <xdr:twoCellAnchor>
    <xdr:from>
      <xdr:col>16</xdr:col>
      <xdr:colOff>473623</xdr:colOff>
      <xdr:row>7</xdr:row>
      <xdr:rowOff>168166</xdr:rowOff>
    </xdr:from>
    <xdr:to>
      <xdr:col>17</xdr:col>
      <xdr:colOff>473624</xdr:colOff>
      <xdr:row>8</xdr:row>
      <xdr:rowOff>187216</xdr:rowOff>
    </xdr:to>
    <xdr:sp macro="" textlink="$J$33">
      <xdr:nvSpPr>
        <xdr:cNvPr id="12" name="TextBox 11">
          <a:extLst>
            <a:ext uri="{FF2B5EF4-FFF2-40B4-BE49-F238E27FC236}">
              <a16:creationId xmlns:a16="http://schemas.microsoft.com/office/drawing/2014/main" id="{34F291B9-E8E8-4998-BAFE-DA7004D18C1C}"/>
            </a:ext>
          </a:extLst>
        </xdr:cNvPr>
        <xdr:cNvSpPr txBox="1"/>
      </xdr:nvSpPr>
      <xdr:spPr>
        <a:xfrm>
          <a:off x="10960648" y="1501666"/>
          <a:ext cx="609601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252E5600-41D2-43C6-B147-F48D91A0F1A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0.0</a:t>
          </a:fld>
          <a:endParaRPr lang="en-PH" sz="1100" b="1" u="none"/>
        </a:p>
      </xdr:txBody>
    </xdr:sp>
    <xdr:clientData/>
  </xdr:twoCellAnchor>
  <xdr:twoCellAnchor>
    <xdr:from>
      <xdr:col>13</xdr:col>
      <xdr:colOff>42892</xdr:colOff>
      <xdr:row>18</xdr:row>
      <xdr:rowOff>56030</xdr:rowOff>
    </xdr:from>
    <xdr:to>
      <xdr:col>15</xdr:col>
      <xdr:colOff>537001</xdr:colOff>
      <xdr:row>19</xdr:row>
      <xdr:rowOff>75080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023B804-BCB5-435F-BD00-8DC924AFEF57}"/>
            </a:ext>
          </a:extLst>
        </xdr:cNvPr>
        <xdr:cNvSpPr txBox="1"/>
      </xdr:nvSpPr>
      <xdr:spPr>
        <a:xfrm>
          <a:off x="8738657" y="3485030"/>
          <a:ext cx="1704344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PH" sz="1100" b="0" u="none"/>
            <a:t>NET PAY</a:t>
          </a:r>
        </a:p>
      </xdr:txBody>
    </xdr:sp>
    <xdr:clientData/>
  </xdr:twoCellAnchor>
  <xdr:twoCellAnchor>
    <xdr:from>
      <xdr:col>13</xdr:col>
      <xdr:colOff>49615</xdr:colOff>
      <xdr:row>20</xdr:row>
      <xdr:rowOff>6724</xdr:rowOff>
    </xdr:from>
    <xdr:to>
      <xdr:col>15</xdr:col>
      <xdr:colOff>543724</xdr:colOff>
      <xdr:row>21</xdr:row>
      <xdr:rowOff>25774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B615D4C-E1B4-4982-A943-441C4E2BD7AB}"/>
            </a:ext>
          </a:extLst>
        </xdr:cNvPr>
        <xdr:cNvSpPr txBox="1"/>
      </xdr:nvSpPr>
      <xdr:spPr>
        <a:xfrm>
          <a:off x="8745380" y="3816724"/>
          <a:ext cx="1704344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PH" sz="1100" b="1" u="sng"/>
            <a:t>Overtime</a:t>
          </a:r>
          <a:r>
            <a:rPr lang="en-PH" sz="1100" b="1" u="sng" baseline="0"/>
            <a:t> Hours Details</a:t>
          </a:r>
          <a:endParaRPr lang="en-PH" sz="1100" b="1" u="sng"/>
        </a:p>
      </xdr:txBody>
    </xdr:sp>
    <xdr:clientData/>
  </xdr:twoCellAnchor>
  <xdr:twoCellAnchor>
    <xdr:from>
      <xdr:col>13</xdr:col>
      <xdr:colOff>42332</xdr:colOff>
      <xdr:row>21</xdr:row>
      <xdr:rowOff>84605</xdr:rowOff>
    </xdr:from>
    <xdr:to>
      <xdr:col>15</xdr:col>
      <xdr:colOff>536441</xdr:colOff>
      <xdr:row>22</xdr:row>
      <xdr:rowOff>103655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D4379A9-BDD5-4C1F-BD89-DC64B2B87F91}"/>
            </a:ext>
          </a:extLst>
        </xdr:cNvPr>
        <xdr:cNvSpPr txBox="1"/>
      </xdr:nvSpPr>
      <xdr:spPr>
        <a:xfrm>
          <a:off x="8748182" y="4085105"/>
          <a:ext cx="1713309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PH" sz="1100" b="0" u="none"/>
            <a:t>OT REGULAR FIRST</a:t>
          </a:r>
          <a:r>
            <a:rPr lang="en-PH" sz="1100" b="0" u="none" baseline="0"/>
            <a:t> 8 </a:t>
          </a:r>
          <a:endParaRPr lang="en-PH" sz="1100" b="0" u="none"/>
        </a:p>
      </xdr:txBody>
    </xdr:sp>
    <xdr:clientData/>
  </xdr:twoCellAnchor>
  <xdr:twoCellAnchor>
    <xdr:from>
      <xdr:col>19</xdr:col>
      <xdr:colOff>114300</xdr:colOff>
      <xdr:row>4</xdr:row>
      <xdr:rowOff>47625</xdr:rowOff>
    </xdr:from>
    <xdr:to>
      <xdr:col>20</xdr:col>
      <xdr:colOff>402021</xdr:colOff>
      <xdr:row>5</xdr:row>
      <xdr:rowOff>66675</xdr:rowOff>
    </xdr:to>
    <xdr:sp macro="" textlink="$L$33">
      <xdr:nvSpPr>
        <xdr:cNvPr id="16" name="TextBox 15">
          <a:extLst>
            <a:ext uri="{FF2B5EF4-FFF2-40B4-BE49-F238E27FC236}">
              <a16:creationId xmlns:a16="http://schemas.microsoft.com/office/drawing/2014/main" id="{14E35978-5011-4BCB-BC7C-D63A9224E75B}"/>
            </a:ext>
          </a:extLst>
        </xdr:cNvPr>
        <xdr:cNvSpPr txBox="1"/>
      </xdr:nvSpPr>
      <xdr:spPr>
        <a:xfrm>
          <a:off x="15420975" y="809625"/>
          <a:ext cx="897321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71916040-C6F5-4F83-B409-5790C1EE7672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-   </a:t>
          </a:fld>
          <a:endParaRPr lang="en-US" sz="1100" b="1" u="none"/>
        </a:p>
      </xdr:txBody>
    </xdr:sp>
    <xdr:clientData/>
  </xdr:twoCellAnchor>
  <xdr:twoCellAnchor>
    <xdr:from>
      <xdr:col>19</xdr:col>
      <xdr:colOff>150395</xdr:colOff>
      <xdr:row>5</xdr:row>
      <xdr:rowOff>180975</xdr:rowOff>
    </xdr:from>
    <xdr:to>
      <xdr:col>20</xdr:col>
      <xdr:colOff>278196</xdr:colOff>
      <xdr:row>7</xdr:row>
      <xdr:rowOff>9525</xdr:rowOff>
    </xdr:to>
    <xdr:sp macro="" textlink="$I$33">
      <xdr:nvSpPr>
        <xdr:cNvPr id="17" name="TextBox 16">
          <a:extLst>
            <a:ext uri="{FF2B5EF4-FFF2-40B4-BE49-F238E27FC236}">
              <a16:creationId xmlns:a16="http://schemas.microsoft.com/office/drawing/2014/main" id="{34F3ACF8-656B-4918-BB01-ED3D6FAEF565}"/>
            </a:ext>
          </a:extLst>
        </xdr:cNvPr>
        <xdr:cNvSpPr txBox="1"/>
      </xdr:nvSpPr>
      <xdr:spPr>
        <a:xfrm>
          <a:off x="15480632" y="1133475"/>
          <a:ext cx="739406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9494A1D0-D52A-479B-AA70-C626934CD148}" type="TxLink">
            <a:rPr lang="en-US" sz="1000" b="1" i="0" u="none" strike="noStrike">
              <a:solidFill>
                <a:srgbClr val="000000"/>
              </a:solidFill>
              <a:latin typeface="Arial Unicode MS"/>
            </a:rPr>
            <a:pPr/>
            <a:t>0</a:t>
          </a:fld>
          <a:endParaRPr lang="en-US" sz="1100" b="1" u="none"/>
        </a:p>
      </xdr:txBody>
    </xdr:sp>
    <xdr:clientData/>
  </xdr:twoCellAnchor>
  <xdr:twoCellAnchor>
    <xdr:from>
      <xdr:col>19</xdr:col>
      <xdr:colOff>115302</xdr:colOff>
      <xdr:row>7</xdr:row>
      <xdr:rowOff>123825</xdr:rowOff>
    </xdr:from>
    <xdr:to>
      <xdr:col>20</xdr:col>
      <xdr:colOff>175461</xdr:colOff>
      <xdr:row>8</xdr:row>
      <xdr:rowOff>142875</xdr:rowOff>
    </xdr:to>
    <xdr:sp macro="" textlink="$K$33">
      <xdr:nvSpPr>
        <xdr:cNvPr id="18" name="TextBox 17">
          <a:extLst>
            <a:ext uri="{FF2B5EF4-FFF2-40B4-BE49-F238E27FC236}">
              <a16:creationId xmlns:a16="http://schemas.microsoft.com/office/drawing/2014/main" id="{DED709FA-AED5-486B-95EB-5533E4914FF3}"/>
            </a:ext>
          </a:extLst>
        </xdr:cNvPr>
        <xdr:cNvSpPr txBox="1"/>
      </xdr:nvSpPr>
      <xdr:spPr>
        <a:xfrm>
          <a:off x="15445539" y="1457325"/>
          <a:ext cx="671764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EB5A6E49-CA10-458F-96A7-6C60C43A242D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-   </a:t>
          </a:fld>
          <a:endParaRPr lang="en-US" sz="1100" b="1" u="none"/>
        </a:p>
      </xdr:txBody>
    </xdr:sp>
    <xdr:clientData/>
  </xdr:twoCellAnchor>
  <xdr:twoCellAnchor>
    <xdr:from>
      <xdr:col>19</xdr:col>
      <xdr:colOff>87923</xdr:colOff>
      <xdr:row>16</xdr:row>
      <xdr:rowOff>7327</xdr:rowOff>
    </xdr:from>
    <xdr:to>
      <xdr:col>20</xdr:col>
      <xdr:colOff>375644</xdr:colOff>
      <xdr:row>17</xdr:row>
      <xdr:rowOff>26377</xdr:rowOff>
    </xdr:to>
    <xdr:sp macro="" textlink="$L$33">
      <xdr:nvSpPr>
        <xdr:cNvPr id="3" name="TextBox 2">
          <a:extLst>
            <a:ext uri="{FF2B5EF4-FFF2-40B4-BE49-F238E27FC236}">
              <a16:creationId xmlns:a16="http://schemas.microsoft.com/office/drawing/2014/main" id="{1A8A46D7-BA03-4BDE-835A-3DE0B62E083D}"/>
            </a:ext>
          </a:extLst>
        </xdr:cNvPr>
        <xdr:cNvSpPr txBox="1"/>
      </xdr:nvSpPr>
      <xdr:spPr>
        <a:xfrm>
          <a:off x="15393865" y="3055327"/>
          <a:ext cx="895856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71916040-C6F5-4F83-B409-5790C1EE7672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 -   </a:t>
          </a:fld>
          <a:endParaRPr lang="en-US" sz="1100" b="1" u="none"/>
        </a:p>
      </xdr:txBody>
    </xdr:sp>
    <xdr:clientData/>
  </xdr:twoCellAnchor>
  <xdr:twoCellAnchor>
    <xdr:from>
      <xdr:col>19</xdr:col>
      <xdr:colOff>131885</xdr:colOff>
      <xdr:row>21</xdr:row>
      <xdr:rowOff>87923</xdr:rowOff>
    </xdr:from>
    <xdr:to>
      <xdr:col>20</xdr:col>
      <xdr:colOff>131886</xdr:colOff>
      <xdr:row>22</xdr:row>
      <xdr:rowOff>106973</xdr:rowOff>
    </xdr:to>
    <xdr:sp macro="" textlink="$H$33">
      <xdr:nvSpPr>
        <xdr:cNvPr id="19" name="TextBox 18">
          <a:extLst>
            <a:ext uri="{FF2B5EF4-FFF2-40B4-BE49-F238E27FC236}">
              <a16:creationId xmlns:a16="http://schemas.microsoft.com/office/drawing/2014/main" id="{DBFC4571-7FC7-43E3-9708-88A6CD80D388}"/>
            </a:ext>
          </a:extLst>
        </xdr:cNvPr>
        <xdr:cNvSpPr txBox="1"/>
      </xdr:nvSpPr>
      <xdr:spPr>
        <a:xfrm>
          <a:off x="15437827" y="4088423"/>
          <a:ext cx="608136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E603295C-8129-4593-BED8-1A203D335404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0</a:t>
          </a:fld>
          <a:endParaRPr lang="en-US" sz="1100" b="1" u="none"/>
        </a:p>
      </xdr:txBody>
    </xdr:sp>
    <xdr:clientData/>
  </xdr:twoCellAnchor>
  <xdr:twoCellAnchor>
    <xdr:from>
      <xdr:col>23</xdr:col>
      <xdr:colOff>54428</xdr:colOff>
      <xdr:row>2</xdr:row>
      <xdr:rowOff>27214</xdr:rowOff>
    </xdr:from>
    <xdr:to>
      <xdr:col>25</xdr:col>
      <xdr:colOff>548537</xdr:colOff>
      <xdr:row>3</xdr:row>
      <xdr:rowOff>46264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55F04EA-8511-4B84-BB20-3E5AA79B25A4}"/>
            </a:ext>
          </a:extLst>
        </xdr:cNvPr>
        <xdr:cNvSpPr txBox="1"/>
      </xdr:nvSpPr>
      <xdr:spPr>
        <a:xfrm>
          <a:off x="17838964" y="408214"/>
          <a:ext cx="1718752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PH" sz="1100" b="1" u="sng"/>
            <a:t>Deduction</a:t>
          </a:r>
          <a:r>
            <a:rPr lang="en-PH" sz="1100" b="1" u="sng" baseline="0"/>
            <a:t> Details</a:t>
          </a:r>
          <a:endParaRPr lang="en-PH" sz="1100" b="1" u="sng"/>
        </a:p>
      </xdr:txBody>
    </xdr:sp>
    <xdr:clientData/>
  </xdr:twoCellAnchor>
  <xdr:twoCellAnchor>
    <xdr:from>
      <xdr:col>23</xdr:col>
      <xdr:colOff>54429</xdr:colOff>
      <xdr:row>3</xdr:row>
      <xdr:rowOff>114300</xdr:rowOff>
    </xdr:from>
    <xdr:to>
      <xdr:col>24</xdr:col>
      <xdr:colOff>440873</xdr:colOff>
      <xdr:row>4</xdr:row>
      <xdr:rowOff>133350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D2BB603-6A98-4665-855F-AFDB9C3E3CEC}"/>
            </a:ext>
          </a:extLst>
        </xdr:cNvPr>
        <xdr:cNvSpPr txBox="1"/>
      </xdr:nvSpPr>
      <xdr:spPr>
        <a:xfrm>
          <a:off x="17803586" y="685800"/>
          <a:ext cx="996044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PH" sz="1100" b="0" u="none"/>
            <a:t>PhilHeath_EE</a:t>
          </a:r>
        </a:p>
      </xdr:txBody>
    </xdr:sp>
    <xdr:clientData/>
  </xdr:twoCellAnchor>
  <xdr:twoCellAnchor>
    <xdr:from>
      <xdr:col>23</xdr:col>
      <xdr:colOff>59872</xdr:colOff>
      <xdr:row>5</xdr:row>
      <xdr:rowOff>48986</xdr:rowOff>
    </xdr:from>
    <xdr:to>
      <xdr:col>24</xdr:col>
      <xdr:colOff>54430</xdr:colOff>
      <xdr:row>6</xdr:row>
      <xdr:rowOff>68036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AD56EE1-51A5-4831-98A2-4C5ECDB5A1C1}"/>
            </a:ext>
          </a:extLst>
        </xdr:cNvPr>
        <xdr:cNvSpPr txBox="1"/>
      </xdr:nvSpPr>
      <xdr:spPr>
        <a:xfrm>
          <a:off x="17809029" y="1001486"/>
          <a:ext cx="604158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PH" sz="1100" b="0" u="none"/>
            <a:t>SSS_EE</a:t>
          </a:r>
        </a:p>
      </xdr:txBody>
    </xdr:sp>
    <xdr:clientData/>
  </xdr:twoCellAnchor>
  <xdr:twoCellAnchor>
    <xdr:from>
      <xdr:col>23</xdr:col>
      <xdr:colOff>65315</xdr:colOff>
      <xdr:row>6</xdr:row>
      <xdr:rowOff>168729</xdr:rowOff>
    </xdr:from>
    <xdr:to>
      <xdr:col>24</xdr:col>
      <xdr:colOff>364673</xdr:colOff>
      <xdr:row>7</xdr:row>
      <xdr:rowOff>187779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1FF00B3-8618-4B48-BE79-9C3BD72AC079}"/>
            </a:ext>
          </a:extLst>
        </xdr:cNvPr>
        <xdr:cNvSpPr txBox="1"/>
      </xdr:nvSpPr>
      <xdr:spPr>
        <a:xfrm>
          <a:off x="17814472" y="1311729"/>
          <a:ext cx="908958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PH" sz="1100" b="0" u="none"/>
            <a:t>PAGIBIG_EE</a:t>
          </a:r>
        </a:p>
      </xdr:txBody>
    </xdr:sp>
    <xdr:clientData/>
  </xdr:twoCellAnchor>
  <xdr:twoCellAnchor>
    <xdr:from>
      <xdr:col>23</xdr:col>
      <xdr:colOff>64843</xdr:colOff>
      <xdr:row>12</xdr:row>
      <xdr:rowOff>168729</xdr:rowOff>
    </xdr:from>
    <xdr:to>
      <xdr:col>25</xdr:col>
      <xdr:colOff>210207</xdr:colOff>
      <xdr:row>13</xdr:row>
      <xdr:rowOff>187779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35D8980-DBF6-4FF4-8945-720A4448BA2F}"/>
            </a:ext>
          </a:extLst>
        </xdr:cNvPr>
        <xdr:cNvSpPr txBox="1"/>
      </xdr:nvSpPr>
      <xdr:spPr>
        <a:xfrm>
          <a:off x="17833895" y="2454729"/>
          <a:ext cx="1367191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PH" sz="1100" b="1" u="none"/>
            <a:t>Total</a:t>
          </a:r>
          <a:r>
            <a:rPr lang="en-PH" sz="1100" b="1" u="none" baseline="0"/>
            <a:t> Deductions: </a:t>
          </a:r>
          <a:endParaRPr lang="en-PH" sz="1100" b="1" u="none"/>
        </a:p>
      </xdr:txBody>
    </xdr:sp>
    <xdr:clientData/>
  </xdr:twoCellAnchor>
  <xdr:twoCellAnchor>
    <xdr:from>
      <xdr:col>26</xdr:col>
      <xdr:colOff>212395</xdr:colOff>
      <xdr:row>2</xdr:row>
      <xdr:rowOff>43071</xdr:rowOff>
    </xdr:from>
    <xdr:to>
      <xdr:col>27</xdr:col>
      <xdr:colOff>289378</xdr:colOff>
      <xdr:row>3</xdr:row>
      <xdr:rowOff>62121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AAD9320-AE54-45BF-881D-1545E9F6668B}"/>
            </a:ext>
          </a:extLst>
        </xdr:cNvPr>
        <xdr:cNvSpPr txBox="1"/>
      </xdr:nvSpPr>
      <xdr:spPr>
        <a:xfrm>
          <a:off x="19850460" y="424071"/>
          <a:ext cx="689896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PH" sz="1100" b="1" u="none"/>
            <a:t>Amount</a:t>
          </a:r>
        </a:p>
      </xdr:txBody>
    </xdr:sp>
    <xdr:clientData/>
  </xdr:twoCellAnchor>
  <xdr:twoCellAnchor>
    <xdr:from>
      <xdr:col>26</xdr:col>
      <xdr:colOff>229739</xdr:colOff>
      <xdr:row>3</xdr:row>
      <xdr:rowOff>160372</xdr:rowOff>
    </xdr:from>
    <xdr:to>
      <xdr:col>27</xdr:col>
      <xdr:colOff>57202</xdr:colOff>
      <xdr:row>4</xdr:row>
      <xdr:rowOff>174712</xdr:rowOff>
    </xdr:to>
    <xdr:sp macro="" textlink="$AG$7">
      <xdr:nvSpPr>
        <xdr:cNvPr id="30" name="TextBox 29">
          <a:extLst>
            <a:ext uri="{FF2B5EF4-FFF2-40B4-BE49-F238E27FC236}">
              <a16:creationId xmlns:a16="http://schemas.microsoft.com/office/drawing/2014/main" id="{EEF53385-DA6D-C033-43CE-037802A932D2}"/>
            </a:ext>
          </a:extLst>
        </xdr:cNvPr>
        <xdr:cNvSpPr txBox="1"/>
      </xdr:nvSpPr>
      <xdr:spPr>
        <a:xfrm>
          <a:off x="19867804" y="731872"/>
          <a:ext cx="440376" cy="204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F62C6895-47B8-471C-963F-018D4EFE08EF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250</a:t>
          </a:fld>
          <a:endParaRPr lang="en-PH" sz="1100" b="0"/>
        </a:p>
      </xdr:txBody>
    </xdr:sp>
    <xdr:clientData/>
  </xdr:twoCellAnchor>
  <xdr:twoCellAnchor>
    <xdr:from>
      <xdr:col>26</xdr:col>
      <xdr:colOff>223630</xdr:colOff>
      <xdr:row>5</xdr:row>
      <xdr:rowOff>57979</xdr:rowOff>
    </xdr:from>
    <xdr:to>
      <xdr:col>27</xdr:col>
      <xdr:colOff>51093</xdr:colOff>
      <xdr:row>6</xdr:row>
      <xdr:rowOff>72319</xdr:rowOff>
    </xdr:to>
    <xdr:sp macro="" textlink="$AG$8">
      <xdr:nvSpPr>
        <xdr:cNvPr id="32" name="TextBox 31">
          <a:extLst>
            <a:ext uri="{FF2B5EF4-FFF2-40B4-BE49-F238E27FC236}">
              <a16:creationId xmlns:a16="http://schemas.microsoft.com/office/drawing/2014/main" id="{6A0DDCA3-536A-43F1-B414-B60C835EF1CD}"/>
            </a:ext>
          </a:extLst>
        </xdr:cNvPr>
        <xdr:cNvSpPr txBox="1"/>
      </xdr:nvSpPr>
      <xdr:spPr>
        <a:xfrm>
          <a:off x="19861695" y="1010479"/>
          <a:ext cx="440376" cy="204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72D0C320-875E-4CAD-87F0-AB905B4C251B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180</a:t>
          </a:fld>
          <a:endParaRPr lang="en-PH" sz="1100" b="0"/>
        </a:p>
      </xdr:txBody>
    </xdr:sp>
    <xdr:clientData/>
  </xdr:twoCellAnchor>
  <xdr:twoCellAnchor>
    <xdr:from>
      <xdr:col>26</xdr:col>
      <xdr:colOff>243508</xdr:colOff>
      <xdr:row>6</xdr:row>
      <xdr:rowOff>185531</xdr:rowOff>
    </xdr:from>
    <xdr:to>
      <xdr:col>27</xdr:col>
      <xdr:colOff>70971</xdr:colOff>
      <xdr:row>8</xdr:row>
      <xdr:rowOff>9371</xdr:rowOff>
    </xdr:to>
    <xdr:sp macro="" textlink="$AG$9">
      <xdr:nvSpPr>
        <xdr:cNvPr id="33" name="TextBox 32">
          <a:extLst>
            <a:ext uri="{FF2B5EF4-FFF2-40B4-BE49-F238E27FC236}">
              <a16:creationId xmlns:a16="http://schemas.microsoft.com/office/drawing/2014/main" id="{C0A19701-F085-4680-ABB0-9F7952B11E60}"/>
            </a:ext>
          </a:extLst>
        </xdr:cNvPr>
        <xdr:cNvSpPr txBox="1"/>
      </xdr:nvSpPr>
      <xdr:spPr>
        <a:xfrm>
          <a:off x="19881573" y="1328531"/>
          <a:ext cx="440376" cy="204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40B40ED7-7F9C-49CD-9F15-B293A74B55EF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0</a:t>
          </a:fld>
          <a:endParaRPr lang="en-PH" sz="1100" b="1"/>
        </a:p>
      </xdr:txBody>
    </xdr:sp>
    <xdr:clientData/>
  </xdr:twoCellAnchor>
  <xdr:twoCellAnchor>
    <xdr:from>
      <xdr:col>26</xdr:col>
      <xdr:colOff>240195</xdr:colOff>
      <xdr:row>12</xdr:row>
      <xdr:rowOff>187358</xdr:rowOff>
    </xdr:from>
    <xdr:to>
      <xdr:col>27</xdr:col>
      <xdr:colOff>157370</xdr:colOff>
      <xdr:row>14</xdr:row>
      <xdr:rowOff>11198</xdr:rowOff>
    </xdr:to>
    <xdr:sp macro="" textlink="$AG$10">
      <xdr:nvSpPr>
        <xdr:cNvPr id="34" name="TextBox 33">
          <a:extLst>
            <a:ext uri="{FF2B5EF4-FFF2-40B4-BE49-F238E27FC236}">
              <a16:creationId xmlns:a16="http://schemas.microsoft.com/office/drawing/2014/main" id="{9E41FFA5-0F96-4FD9-8985-5332D0988488}"/>
            </a:ext>
          </a:extLst>
        </xdr:cNvPr>
        <xdr:cNvSpPr txBox="1"/>
      </xdr:nvSpPr>
      <xdr:spPr>
        <a:xfrm>
          <a:off x="19841988" y="2473358"/>
          <a:ext cx="528089" cy="204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8D961ED6-8192-4C09-979B-414D0B363763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430</a:t>
          </a:fld>
          <a:endParaRPr lang="en-US" sz="11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19</xdr:col>
      <xdr:colOff>95250</xdr:colOff>
      <xdr:row>18</xdr:row>
      <xdr:rowOff>66675</xdr:rowOff>
    </xdr:from>
    <xdr:to>
      <xdr:col>20</xdr:col>
      <xdr:colOff>263769</xdr:colOff>
      <xdr:row>19</xdr:row>
      <xdr:rowOff>81015</xdr:rowOff>
    </xdr:to>
    <xdr:sp macro="" textlink="$AG$11">
      <xdr:nvSpPr>
        <xdr:cNvPr id="35" name="TextBox 34">
          <a:extLst>
            <a:ext uri="{FF2B5EF4-FFF2-40B4-BE49-F238E27FC236}">
              <a16:creationId xmlns:a16="http://schemas.microsoft.com/office/drawing/2014/main" id="{B3BC6C73-7433-4C92-810F-A5B61B0FB0DE}"/>
            </a:ext>
          </a:extLst>
        </xdr:cNvPr>
        <xdr:cNvSpPr txBox="1"/>
      </xdr:nvSpPr>
      <xdr:spPr>
        <a:xfrm>
          <a:off x="15401192" y="3495675"/>
          <a:ext cx="776654" cy="204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42AC4ECE-ED1E-451B-B737-6DA0AC8A1228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-430.00 </a:t>
          </a:fld>
          <a:endParaRPr lang="en-US" sz="11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gela Bajan" id="{418B12D7-9CB2-43A9-B3D1-D65A99C885E7}" userId="ef3a5bb32d9ceec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" dT="2026-05-13T12:53:03.56" personId="{418B12D7-9CB2-43A9-B3D1-D65A99C885E7}" id="{8A315B0C-E41D-4695-97E1-7C45483FD6C5}">
    <text xml:space="preserve">The work hours usually in mcdo is maximum 6 hours for full time
</text>
  </threadedComment>
  <threadedComment ref="G3" dT="2026-05-13T13:32:24.72" personId="{418B12D7-9CB2-43A9-B3D1-D65A99C885E7}" id="{8B572B1D-11C1-4D35-AAFC-5255B2C1FC82}">
    <text>Need conditional statement</text>
  </threadedComment>
  <threadedComment ref="H3" dT="2026-05-13T15:53:54.19" personId="{418B12D7-9CB2-43A9-B3D1-D65A99C885E7}" id="{32CEDE7E-8E10-4490-A937-4AD053AE495B}">
    <text xml:space="preserve">Do not confused in the daily rate-based since there is an night differential </text>
  </threadedComment>
  <threadedComment ref="L3" dT="2026-05-13T13:57:56.46" personId="{418B12D7-9CB2-43A9-B3D1-D65A99C885E7}" id="{B94DD299-85B3-48B3-9D6F-2FD7A32083A7}">
    <text>The 10% night differential is included here.</text>
  </threadedComment>
  <threadedComment ref="L33" dT="2026-05-13T13:49:13.96" personId="{418B12D7-9CB2-43A9-B3D1-D65A99C885E7}" id="{732E0880-F540-49A7-81CD-57BE99696A18}">
    <text xml:space="preserve">Gross Salary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58AA8-BB9D-4E29-A6C1-C5201F7199B7}">
  <dimension ref="A1:AG200000"/>
  <sheetViews>
    <sheetView tabSelected="1" topLeftCell="A199975" zoomScaleNormal="100" workbookViewId="0">
      <selection activeCell="G199995" sqref="G199995"/>
    </sheetView>
  </sheetViews>
  <sheetFormatPr defaultRowHeight="15"/>
  <cols>
    <col min="1" max="1" width="10.7109375" bestFit="1" customWidth="1"/>
    <col min="3" max="3" width="11.42578125" bestFit="1" customWidth="1"/>
    <col min="4" max="4" width="10.28515625" bestFit="1" customWidth="1"/>
    <col min="5" max="5" width="14" bestFit="1" customWidth="1"/>
    <col min="6" max="7" width="15.7109375" bestFit="1" customWidth="1"/>
    <col min="8" max="8" width="16.140625" bestFit="1" customWidth="1"/>
    <col min="9" max="9" width="13.5703125" bestFit="1" customWidth="1"/>
    <col min="10" max="10" width="18.85546875" bestFit="1" customWidth="1"/>
    <col min="11" max="11" width="15.85546875" bestFit="1" customWidth="1"/>
    <col min="12" max="12" width="14.85546875" bestFit="1" customWidth="1"/>
    <col min="13" max="13" width="8.42578125" bestFit="1" customWidth="1"/>
    <col min="33" max="33" width="9.5703125" bestFit="1" customWidth="1"/>
  </cols>
  <sheetData>
    <row r="1" spans="1:33" ht="15" customHeight="1">
      <c r="A1" s="18" t="s">
        <v>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N1" s="19" t="s">
        <v>13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spans="1:33" ht="1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33">
      <c r="A3" s="4" t="s">
        <v>1</v>
      </c>
      <c r="B3" s="5" t="s">
        <v>6</v>
      </c>
      <c r="C3" s="4" t="s">
        <v>0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N3" s="17"/>
      <c r="O3" s="17"/>
      <c r="P3" s="17"/>
      <c r="Q3" s="17"/>
      <c r="R3" s="17"/>
      <c r="S3" s="17"/>
      <c r="T3" s="17"/>
      <c r="U3" s="17"/>
      <c r="V3" s="17"/>
      <c r="X3" s="17"/>
      <c r="Y3" s="17"/>
      <c r="Z3" s="17"/>
      <c r="AA3" s="17"/>
      <c r="AB3" s="17"/>
    </row>
    <row r="4" spans="1:33">
      <c r="A4" s="2"/>
      <c r="B4" s="1"/>
      <c r="D4" s="6"/>
      <c r="E4" s="6"/>
      <c r="F4" s="9">
        <f>MOD(E4-D4, 1)*24</f>
        <v>0</v>
      </c>
      <c r="G4">
        <f>IF(F4&gt;6, F4-6, 0)</f>
        <v>0</v>
      </c>
      <c r="H4" s="10">
        <f t="shared" ref="H4:H32" si="0">IF(F4 &gt; 8, F4 - 8, 0)</f>
        <v>0</v>
      </c>
      <c r="I4" s="15">
        <f>H4 * 100</f>
        <v>0</v>
      </c>
      <c r="J4">
        <f>IF(OR(E4="", D4=""), 0, MAX(0, MIN(IF(E4&lt;D4, E4+1, E4), 30/24) - MAX(D4, 22/24)) * 24 * (IF(E4&lt;D4, E4+1, E4) &gt; 22/24))</f>
        <v>0</v>
      </c>
      <c r="K4" s="13">
        <f>ROUND(J4 * 8.69, 2)</f>
        <v>0</v>
      </c>
      <c r="L4" s="8">
        <f t="shared" ref="L4:L32" si="1">(MIN(F4, 8) * 86.88) + (MAX(0, F4-8) * 100) + (MAX(0, MIN(E4 + (E4 &lt; D4), 30/24) - MAX(D4, 22/24)) * 24 * (86.88 * 0.1))</f>
        <v>0</v>
      </c>
      <c r="N4" s="17"/>
      <c r="O4" s="17"/>
      <c r="P4" s="17"/>
      <c r="Q4" s="17"/>
      <c r="R4" s="17"/>
      <c r="S4" s="17"/>
      <c r="T4" s="17"/>
      <c r="U4" s="17"/>
      <c r="V4" s="17"/>
      <c r="X4" s="17"/>
      <c r="Y4" s="17"/>
      <c r="Z4" s="17"/>
      <c r="AA4" s="17"/>
      <c r="AB4" s="17"/>
    </row>
    <row r="5" spans="1:33">
      <c r="A5" s="3"/>
      <c r="B5" s="1"/>
      <c r="D5" s="6"/>
      <c r="E5" s="6"/>
      <c r="F5" s="9">
        <f>MOD(E5-D5, 1)*24</f>
        <v>0</v>
      </c>
      <c r="G5">
        <f t="shared" ref="G5:G32" si="2">IF(F5&gt;6, F5-6, 0)</f>
        <v>0</v>
      </c>
      <c r="H5" s="10">
        <f t="shared" si="0"/>
        <v>0</v>
      </c>
      <c r="I5" s="15">
        <f t="shared" ref="I5:I32" si="3">H5 * 100</f>
        <v>0</v>
      </c>
      <c r="J5">
        <f t="shared" ref="J5:J32" si="4">IF(OR(E5="", D5=""), 0, MAX(0, MIN(IF(E5&lt;D5, E5+1, E5), 30/24) - MAX(D5, 22/24)) * 24 * (IF(E5&lt;D5, E5+1, E5) &gt; 22/24))</f>
        <v>0</v>
      </c>
      <c r="K5" s="13">
        <f t="shared" ref="K5:K32" si="5">ROUND(J5 * 8.69, 2)</f>
        <v>0</v>
      </c>
      <c r="L5" s="8">
        <f t="shared" si="1"/>
        <v>0</v>
      </c>
      <c r="N5" s="17"/>
      <c r="O5" s="17"/>
      <c r="P5" s="17"/>
      <c r="Q5" s="17"/>
      <c r="R5" s="17"/>
      <c r="S5" s="17"/>
      <c r="T5" s="17"/>
      <c r="U5" s="17"/>
      <c r="V5" s="17"/>
      <c r="X5" s="17"/>
      <c r="Y5" s="17"/>
      <c r="Z5" s="17"/>
      <c r="AA5" s="17"/>
      <c r="AB5" s="17"/>
    </row>
    <row r="6" spans="1:33">
      <c r="A6" s="3"/>
      <c r="B6" s="1"/>
      <c r="D6" s="6"/>
      <c r="E6" s="6"/>
      <c r="F6" s="9">
        <f t="shared" ref="F6:F32" si="6">MOD(E6-D6, 1)*24</f>
        <v>0</v>
      </c>
      <c r="G6">
        <f t="shared" si="2"/>
        <v>0</v>
      </c>
      <c r="H6" s="10">
        <f t="shared" si="0"/>
        <v>0</v>
      </c>
      <c r="I6" s="15">
        <f>H6 * 100</f>
        <v>0</v>
      </c>
      <c r="J6">
        <f t="shared" si="4"/>
        <v>0</v>
      </c>
      <c r="K6" s="13">
        <f t="shared" si="5"/>
        <v>0</v>
      </c>
      <c r="L6" s="8">
        <f t="shared" si="1"/>
        <v>0</v>
      </c>
      <c r="N6" s="17"/>
      <c r="O6" s="17"/>
      <c r="P6" s="17"/>
      <c r="Q6" s="17"/>
      <c r="R6" s="17"/>
      <c r="S6" s="17"/>
      <c r="T6" s="17"/>
      <c r="U6" s="17"/>
      <c r="V6" s="17"/>
      <c r="X6" s="17"/>
      <c r="Y6" s="17"/>
      <c r="Z6" s="17"/>
      <c r="AA6" s="17"/>
      <c r="AB6" s="17"/>
    </row>
    <row r="7" spans="1:33">
      <c r="A7" s="3"/>
      <c r="B7" s="1"/>
      <c r="D7" s="6"/>
      <c r="E7" s="6"/>
      <c r="F7" s="9">
        <f>MOD(E7-D7, 1)*24</f>
        <v>0</v>
      </c>
      <c r="G7">
        <f t="shared" si="2"/>
        <v>0</v>
      </c>
      <c r="H7" s="10">
        <f t="shared" si="0"/>
        <v>0</v>
      </c>
      <c r="I7" s="15">
        <f t="shared" si="3"/>
        <v>0</v>
      </c>
      <c r="J7" s="14">
        <f t="shared" si="4"/>
        <v>0</v>
      </c>
      <c r="K7" s="13">
        <f t="shared" si="5"/>
        <v>0</v>
      </c>
      <c r="L7" s="8">
        <f>(MIN(F7, 8) * 86.88) + (MAX(0, F7-8) * 100) + (MAX(0, MIN(E7 + (E7 &lt; D7), 30/24) - MAX(D7, 22/24)) * 24 * (86.88 * 0.1))</f>
        <v>0</v>
      </c>
      <c r="N7" s="17"/>
      <c r="O7" s="17"/>
      <c r="P7" s="17"/>
      <c r="Q7" s="17"/>
      <c r="R7" s="17"/>
      <c r="S7" s="17"/>
      <c r="T7" s="17"/>
      <c r="U7" s="17"/>
      <c r="V7" s="17"/>
      <c r="X7" s="17"/>
      <c r="Y7" s="17"/>
      <c r="Z7" s="17"/>
      <c r="AA7" s="17"/>
      <c r="AB7" s="17"/>
      <c r="AG7">
        <f>MAX(250, ROUND(U17 * 0.025, 2))</f>
        <v>250</v>
      </c>
    </row>
    <row r="8" spans="1:33">
      <c r="A8" s="3"/>
      <c r="B8" s="1"/>
      <c r="D8" s="6"/>
      <c r="E8" s="6"/>
      <c r="F8" s="9">
        <f t="shared" si="6"/>
        <v>0</v>
      </c>
      <c r="G8">
        <f t="shared" si="2"/>
        <v>0</v>
      </c>
      <c r="H8" s="10">
        <f t="shared" si="0"/>
        <v>0</v>
      </c>
      <c r="I8" s="15">
        <f t="shared" si="3"/>
        <v>0</v>
      </c>
      <c r="J8">
        <f t="shared" si="4"/>
        <v>0</v>
      </c>
      <c r="K8" s="13">
        <f t="shared" si="5"/>
        <v>0</v>
      </c>
      <c r="L8" s="8">
        <f t="shared" si="1"/>
        <v>0</v>
      </c>
      <c r="N8" s="17"/>
      <c r="O8" s="17"/>
      <c r="P8" s="17"/>
      <c r="Q8" s="17"/>
      <c r="R8" s="17"/>
      <c r="S8" s="17"/>
      <c r="T8" s="17"/>
      <c r="U8" s="17"/>
      <c r="V8" s="17"/>
      <c r="X8" s="17"/>
      <c r="Y8" s="17"/>
      <c r="Z8" s="17"/>
      <c r="AA8" s="17"/>
      <c r="AB8" s="17"/>
      <c r="AG8">
        <f>IF(U17&lt;=5000, 180, ROUND(U17 * 0.045, 2))</f>
        <v>180</v>
      </c>
    </row>
    <row r="9" spans="1:33">
      <c r="A9" s="3"/>
      <c r="B9" s="1"/>
      <c r="D9" s="6"/>
      <c r="E9" s="6"/>
      <c r="F9" s="9">
        <f t="shared" si="6"/>
        <v>0</v>
      </c>
      <c r="G9">
        <f t="shared" si="2"/>
        <v>0</v>
      </c>
      <c r="H9" s="10">
        <f t="shared" si="0"/>
        <v>0</v>
      </c>
      <c r="I9" s="15">
        <f t="shared" si="3"/>
        <v>0</v>
      </c>
      <c r="J9">
        <f t="shared" si="4"/>
        <v>0</v>
      </c>
      <c r="K9" s="13">
        <f t="shared" si="5"/>
        <v>0</v>
      </c>
      <c r="L9" s="8">
        <f t="shared" si="1"/>
        <v>0</v>
      </c>
      <c r="N9" s="17"/>
      <c r="O9" s="17"/>
      <c r="P9" s="17"/>
      <c r="Q9" s="17"/>
      <c r="R9" s="17"/>
      <c r="S9" s="17"/>
      <c r="T9" s="17"/>
      <c r="U9" s="17"/>
      <c r="V9" s="17"/>
      <c r="X9" s="17"/>
      <c r="Y9" s="17"/>
      <c r="Z9" s="17"/>
      <c r="AA9" s="17"/>
      <c r="AB9" s="17"/>
      <c r="AG9">
        <f>ROUND(L33 * 0.02, 2)</f>
        <v>0</v>
      </c>
    </row>
    <row r="10" spans="1:33">
      <c r="B10" s="1" t="str">
        <f t="shared" ref="B10:B68" si="7">IF(A10="", "", TEXT(A10, "mmmm"))</f>
        <v/>
      </c>
      <c r="C10" t="str">
        <f t="shared" ref="C10:C68" si="8">IF(A10="", "", TEXT(A10, "dddd"))</f>
        <v/>
      </c>
      <c r="D10" s="6"/>
      <c r="E10" s="6"/>
      <c r="F10" s="9">
        <f t="shared" si="6"/>
        <v>0</v>
      </c>
      <c r="G10">
        <f t="shared" si="2"/>
        <v>0</v>
      </c>
      <c r="H10" s="10">
        <f t="shared" si="0"/>
        <v>0</v>
      </c>
      <c r="I10" s="15">
        <f t="shared" si="3"/>
        <v>0</v>
      </c>
      <c r="J10">
        <f t="shared" si="4"/>
        <v>0</v>
      </c>
      <c r="K10" s="13">
        <f t="shared" si="5"/>
        <v>0</v>
      </c>
      <c r="L10" s="8">
        <f t="shared" si="1"/>
        <v>0</v>
      </c>
      <c r="N10" s="17"/>
      <c r="O10" s="17"/>
      <c r="P10" s="17"/>
      <c r="Q10" s="17"/>
      <c r="R10" s="17"/>
      <c r="S10" s="17"/>
      <c r="T10" s="17"/>
      <c r="U10" s="17"/>
      <c r="V10" s="17"/>
      <c r="X10" s="17"/>
      <c r="Y10" s="17"/>
      <c r="Z10" s="17"/>
      <c r="AA10" s="17"/>
      <c r="AB10" s="17"/>
      <c r="AG10">
        <f>SUM(AG7:AG9)</f>
        <v>430</v>
      </c>
    </row>
    <row r="11" spans="1:33">
      <c r="B11" s="1" t="str">
        <f t="shared" si="7"/>
        <v/>
      </c>
      <c r="C11" t="str">
        <f t="shared" si="8"/>
        <v/>
      </c>
      <c r="D11" s="6"/>
      <c r="E11" s="6"/>
      <c r="F11" s="9">
        <f t="shared" si="6"/>
        <v>0</v>
      </c>
      <c r="G11">
        <f t="shared" si="2"/>
        <v>0</v>
      </c>
      <c r="H11" s="10">
        <f t="shared" si="0"/>
        <v>0</v>
      </c>
      <c r="I11" s="15">
        <f t="shared" si="3"/>
        <v>0</v>
      </c>
      <c r="J11">
        <f t="shared" si="4"/>
        <v>0</v>
      </c>
      <c r="K11" s="13">
        <f t="shared" si="5"/>
        <v>0</v>
      </c>
      <c r="L11" s="8">
        <f t="shared" si="1"/>
        <v>0</v>
      </c>
      <c r="N11" s="17"/>
      <c r="O11" s="17"/>
      <c r="P11" s="17"/>
      <c r="Q11" s="17"/>
      <c r="R11" s="17"/>
      <c r="S11" s="17"/>
      <c r="T11" s="17"/>
      <c r="U11" s="17"/>
      <c r="V11" s="17"/>
      <c r="X11" s="17"/>
      <c r="Y11" s="17"/>
      <c r="Z11" s="17"/>
      <c r="AA11" s="17"/>
      <c r="AB11" s="17"/>
      <c r="AG11" s="16">
        <f>L33 - AG10</f>
        <v>-430</v>
      </c>
    </row>
    <row r="12" spans="1:33">
      <c r="B12" s="1" t="str">
        <f t="shared" si="7"/>
        <v/>
      </c>
      <c r="C12" t="str">
        <f t="shared" si="8"/>
        <v/>
      </c>
      <c r="D12" s="6"/>
      <c r="E12" s="6"/>
      <c r="F12" s="9">
        <f t="shared" si="6"/>
        <v>0</v>
      </c>
      <c r="G12">
        <f t="shared" si="2"/>
        <v>0</v>
      </c>
      <c r="H12" s="10">
        <f t="shared" si="0"/>
        <v>0</v>
      </c>
      <c r="I12" s="15">
        <f t="shared" si="3"/>
        <v>0</v>
      </c>
      <c r="J12">
        <f t="shared" si="4"/>
        <v>0</v>
      </c>
      <c r="K12" s="13">
        <f t="shared" si="5"/>
        <v>0</v>
      </c>
      <c r="L12" s="8">
        <f t="shared" si="1"/>
        <v>0</v>
      </c>
      <c r="N12" s="17"/>
      <c r="O12" s="17"/>
      <c r="P12" s="17"/>
      <c r="Q12" s="17"/>
      <c r="R12" s="17"/>
      <c r="S12" s="17"/>
      <c r="T12" s="17"/>
      <c r="U12" s="17"/>
      <c r="V12" s="17"/>
      <c r="X12" s="17"/>
      <c r="Y12" s="17"/>
      <c r="Z12" s="17"/>
      <c r="AA12" s="17"/>
      <c r="AB12" s="17"/>
    </row>
    <row r="13" spans="1:33">
      <c r="B13" s="1" t="str">
        <f t="shared" si="7"/>
        <v/>
      </c>
      <c r="C13" t="str">
        <f t="shared" si="8"/>
        <v/>
      </c>
      <c r="D13" s="6"/>
      <c r="E13" s="6"/>
      <c r="F13" s="9">
        <f t="shared" si="6"/>
        <v>0</v>
      </c>
      <c r="G13">
        <f t="shared" si="2"/>
        <v>0</v>
      </c>
      <c r="H13" s="10">
        <f t="shared" si="0"/>
        <v>0</v>
      </c>
      <c r="I13" s="15">
        <f t="shared" si="3"/>
        <v>0</v>
      </c>
      <c r="J13">
        <f t="shared" si="4"/>
        <v>0</v>
      </c>
      <c r="K13" s="13">
        <f t="shared" si="5"/>
        <v>0</v>
      </c>
      <c r="L13" s="8">
        <f t="shared" si="1"/>
        <v>0</v>
      </c>
      <c r="N13" s="17"/>
      <c r="O13" s="17"/>
      <c r="P13" s="17"/>
      <c r="Q13" s="17"/>
      <c r="R13" s="17"/>
      <c r="S13" s="17"/>
      <c r="T13" s="17"/>
      <c r="U13" s="17"/>
      <c r="V13" s="17"/>
      <c r="X13" s="17"/>
      <c r="Y13" s="17"/>
      <c r="Z13" s="17"/>
      <c r="AA13" s="17"/>
      <c r="AB13" s="17"/>
    </row>
    <row r="14" spans="1:33">
      <c r="B14" s="1" t="str">
        <f t="shared" si="7"/>
        <v/>
      </c>
      <c r="C14" t="str">
        <f t="shared" si="8"/>
        <v/>
      </c>
      <c r="D14" s="6"/>
      <c r="E14" s="6"/>
      <c r="F14" s="9">
        <f t="shared" si="6"/>
        <v>0</v>
      </c>
      <c r="G14">
        <f t="shared" si="2"/>
        <v>0</v>
      </c>
      <c r="H14" s="10">
        <f t="shared" si="0"/>
        <v>0</v>
      </c>
      <c r="I14" s="15">
        <f t="shared" si="3"/>
        <v>0</v>
      </c>
      <c r="J14">
        <f t="shared" si="4"/>
        <v>0</v>
      </c>
      <c r="K14" s="13">
        <f t="shared" si="5"/>
        <v>0</v>
      </c>
      <c r="L14" s="8">
        <f t="shared" si="1"/>
        <v>0</v>
      </c>
      <c r="N14" s="17"/>
      <c r="O14" s="17"/>
      <c r="P14" s="17"/>
      <c r="Q14" s="17"/>
      <c r="R14" s="17"/>
      <c r="S14" s="17"/>
      <c r="T14" s="17"/>
      <c r="U14" s="17"/>
      <c r="V14" s="17"/>
      <c r="X14" s="17"/>
      <c r="Y14" s="17"/>
      <c r="Z14" s="17"/>
      <c r="AA14" s="17"/>
      <c r="AB14" s="17"/>
    </row>
    <row r="15" spans="1:33">
      <c r="B15" s="1" t="str">
        <f t="shared" si="7"/>
        <v/>
      </c>
      <c r="C15" t="str">
        <f t="shared" si="8"/>
        <v/>
      </c>
      <c r="D15" s="6"/>
      <c r="E15" s="6"/>
      <c r="F15" s="9">
        <f t="shared" si="6"/>
        <v>0</v>
      </c>
      <c r="G15">
        <f t="shared" si="2"/>
        <v>0</v>
      </c>
      <c r="H15" s="10">
        <f t="shared" si="0"/>
        <v>0</v>
      </c>
      <c r="I15" s="15">
        <f t="shared" si="3"/>
        <v>0</v>
      </c>
      <c r="J15">
        <f t="shared" si="4"/>
        <v>0</v>
      </c>
      <c r="K15" s="13">
        <f t="shared" si="5"/>
        <v>0</v>
      </c>
      <c r="L15" s="8">
        <f t="shared" si="1"/>
        <v>0</v>
      </c>
      <c r="N15" s="17"/>
      <c r="O15" s="17"/>
      <c r="P15" s="17"/>
      <c r="Q15" s="17"/>
      <c r="R15" s="17"/>
      <c r="S15" s="17"/>
      <c r="T15" s="17"/>
      <c r="U15" s="17"/>
      <c r="V15" s="17"/>
      <c r="X15" s="17"/>
      <c r="Y15" s="17"/>
      <c r="Z15" s="17"/>
      <c r="AA15" s="17"/>
      <c r="AB15" s="17"/>
    </row>
    <row r="16" spans="1:33">
      <c r="B16" s="1" t="str">
        <f t="shared" si="7"/>
        <v/>
      </c>
      <c r="C16" t="str">
        <f t="shared" si="8"/>
        <v/>
      </c>
      <c r="D16" s="6"/>
      <c r="E16" s="6"/>
      <c r="F16" s="9">
        <f t="shared" si="6"/>
        <v>0</v>
      </c>
      <c r="G16">
        <f t="shared" si="2"/>
        <v>0</v>
      </c>
      <c r="H16" s="10">
        <f t="shared" si="0"/>
        <v>0</v>
      </c>
      <c r="I16" s="15">
        <f t="shared" si="3"/>
        <v>0</v>
      </c>
      <c r="J16">
        <f t="shared" si="4"/>
        <v>0</v>
      </c>
      <c r="K16" s="13">
        <f t="shared" si="5"/>
        <v>0</v>
      </c>
      <c r="L16" s="8">
        <f t="shared" si="1"/>
        <v>0</v>
      </c>
      <c r="N16" s="17"/>
      <c r="O16" s="17"/>
      <c r="P16" s="17"/>
      <c r="Q16" s="17"/>
      <c r="R16" s="17"/>
      <c r="S16" s="17"/>
      <c r="T16" s="17"/>
      <c r="U16" s="17"/>
      <c r="V16" s="17"/>
      <c r="X16" s="17"/>
      <c r="Y16" s="17"/>
      <c r="Z16" s="17"/>
      <c r="AA16" s="17"/>
      <c r="AB16" s="17"/>
    </row>
    <row r="17" spans="2:28">
      <c r="B17" s="1" t="str">
        <f t="shared" si="7"/>
        <v/>
      </c>
      <c r="C17" t="str">
        <f t="shared" si="8"/>
        <v/>
      </c>
      <c r="D17" s="6"/>
      <c r="E17" s="6"/>
      <c r="F17" s="9">
        <f t="shared" si="6"/>
        <v>0</v>
      </c>
      <c r="G17">
        <f t="shared" si="2"/>
        <v>0</v>
      </c>
      <c r="H17" s="10">
        <f t="shared" si="0"/>
        <v>0</v>
      </c>
      <c r="I17" s="15">
        <f t="shared" si="3"/>
        <v>0</v>
      </c>
      <c r="J17">
        <f t="shared" si="4"/>
        <v>0</v>
      </c>
      <c r="K17" s="13">
        <f t="shared" si="5"/>
        <v>0</v>
      </c>
      <c r="L17" s="8">
        <f t="shared" si="1"/>
        <v>0</v>
      </c>
      <c r="N17" s="17"/>
      <c r="O17" s="17"/>
      <c r="P17" s="17"/>
      <c r="Q17" s="17"/>
      <c r="R17" s="17"/>
      <c r="S17" s="17"/>
      <c r="T17" s="17"/>
      <c r="U17" s="17"/>
      <c r="V17" s="17"/>
      <c r="X17" s="17"/>
      <c r="Y17" s="17"/>
      <c r="Z17" s="17"/>
      <c r="AA17" s="17"/>
      <c r="AB17" s="17"/>
    </row>
    <row r="18" spans="2:28">
      <c r="B18" s="1" t="str">
        <f t="shared" si="7"/>
        <v/>
      </c>
      <c r="C18" t="str">
        <f t="shared" si="8"/>
        <v/>
      </c>
      <c r="D18" s="6"/>
      <c r="E18" s="6"/>
      <c r="F18" s="9">
        <f t="shared" si="6"/>
        <v>0</v>
      </c>
      <c r="G18">
        <f t="shared" si="2"/>
        <v>0</v>
      </c>
      <c r="H18" s="10">
        <f t="shared" si="0"/>
        <v>0</v>
      </c>
      <c r="I18" s="15">
        <f t="shared" si="3"/>
        <v>0</v>
      </c>
      <c r="J18">
        <f t="shared" si="4"/>
        <v>0</v>
      </c>
      <c r="K18" s="13">
        <f t="shared" si="5"/>
        <v>0</v>
      </c>
      <c r="L18" s="8">
        <f t="shared" si="1"/>
        <v>0</v>
      </c>
      <c r="N18" s="17"/>
      <c r="O18" s="17"/>
      <c r="P18" s="17"/>
      <c r="Q18" s="17"/>
      <c r="R18" s="17"/>
      <c r="S18" s="17"/>
      <c r="T18" s="17"/>
      <c r="U18" s="17"/>
      <c r="V18" s="17"/>
      <c r="X18" s="17"/>
      <c r="Y18" s="17"/>
      <c r="Z18" s="17"/>
      <c r="AA18" s="17"/>
      <c r="AB18" s="17"/>
    </row>
    <row r="19" spans="2:28">
      <c r="B19" s="1" t="str">
        <f t="shared" si="7"/>
        <v/>
      </c>
      <c r="C19" t="str">
        <f t="shared" si="8"/>
        <v/>
      </c>
      <c r="D19" s="6"/>
      <c r="E19" s="6"/>
      <c r="F19" s="9">
        <f t="shared" si="6"/>
        <v>0</v>
      </c>
      <c r="G19">
        <f t="shared" si="2"/>
        <v>0</v>
      </c>
      <c r="H19" s="10">
        <f t="shared" si="0"/>
        <v>0</v>
      </c>
      <c r="I19" s="15">
        <f t="shared" si="3"/>
        <v>0</v>
      </c>
      <c r="J19">
        <f t="shared" si="4"/>
        <v>0</v>
      </c>
      <c r="K19" s="13">
        <f t="shared" si="5"/>
        <v>0</v>
      </c>
      <c r="L19" s="8">
        <f t="shared" si="1"/>
        <v>0</v>
      </c>
      <c r="N19" s="17"/>
      <c r="O19" s="17"/>
      <c r="P19" s="17"/>
      <c r="Q19" s="17"/>
      <c r="R19" s="17"/>
      <c r="S19" s="17"/>
      <c r="T19" s="17"/>
      <c r="U19" s="17"/>
      <c r="V19" s="17"/>
    </row>
    <row r="20" spans="2:28">
      <c r="B20" s="1" t="str">
        <f t="shared" si="7"/>
        <v/>
      </c>
      <c r="C20" t="str">
        <f t="shared" si="8"/>
        <v/>
      </c>
      <c r="D20" s="6"/>
      <c r="E20" s="6"/>
      <c r="F20" s="9">
        <f t="shared" si="6"/>
        <v>0</v>
      </c>
      <c r="G20">
        <f t="shared" si="2"/>
        <v>0</v>
      </c>
      <c r="H20" s="10">
        <f t="shared" si="0"/>
        <v>0</v>
      </c>
      <c r="I20" s="15">
        <f t="shared" si="3"/>
        <v>0</v>
      </c>
      <c r="J20">
        <f t="shared" si="4"/>
        <v>0</v>
      </c>
      <c r="K20" s="13">
        <f t="shared" si="5"/>
        <v>0</v>
      </c>
      <c r="L20" s="8">
        <f t="shared" si="1"/>
        <v>0</v>
      </c>
      <c r="N20" s="17"/>
      <c r="O20" s="17"/>
      <c r="P20" s="17"/>
      <c r="Q20" s="17"/>
      <c r="R20" s="17"/>
      <c r="S20" s="17"/>
      <c r="T20" s="17"/>
      <c r="U20" s="17"/>
      <c r="V20" s="17"/>
    </row>
    <row r="21" spans="2:28">
      <c r="B21" s="1" t="str">
        <f t="shared" si="7"/>
        <v/>
      </c>
      <c r="C21" t="str">
        <f t="shared" si="8"/>
        <v/>
      </c>
      <c r="D21" s="6"/>
      <c r="E21" s="6"/>
      <c r="F21" s="9">
        <f t="shared" si="6"/>
        <v>0</v>
      </c>
      <c r="G21">
        <f t="shared" si="2"/>
        <v>0</v>
      </c>
      <c r="H21" s="10">
        <f t="shared" si="0"/>
        <v>0</v>
      </c>
      <c r="I21" s="15">
        <f t="shared" si="3"/>
        <v>0</v>
      </c>
      <c r="J21">
        <f t="shared" si="4"/>
        <v>0</v>
      </c>
      <c r="K21" s="13">
        <f t="shared" si="5"/>
        <v>0</v>
      </c>
      <c r="L21" s="8">
        <f t="shared" si="1"/>
        <v>0</v>
      </c>
      <c r="N21" s="17"/>
      <c r="O21" s="17"/>
      <c r="P21" s="17"/>
      <c r="Q21" s="17"/>
      <c r="R21" s="17"/>
      <c r="S21" s="17"/>
      <c r="T21" s="17"/>
      <c r="U21" s="17"/>
      <c r="V21" s="17"/>
    </row>
    <row r="22" spans="2:28">
      <c r="B22" s="1" t="str">
        <f t="shared" si="7"/>
        <v/>
      </c>
      <c r="C22" t="str">
        <f t="shared" si="8"/>
        <v/>
      </c>
      <c r="D22" s="6"/>
      <c r="E22" s="6"/>
      <c r="F22" s="9">
        <f t="shared" si="6"/>
        <v>0</v>
      </c>
      <c r="G22">
        <f t="shared" si="2"/>
        <v>0</v>
      </c>
      <c r="H22" s="10">
        <f t="shared" si="0"/>
        <v>0</v>
      </c>
      <c r="I22" s="15">
        <f t="shared" si="3"/>
        <v>0</v>
      </c>
      <c r="J22">
        <f t="shared" si="4"/>
        <v>0</v>
      </c>
      <c r="K22" s="13">
        <f t="shared" si="5"/>
        <v>0</v>
      </c>
      <c r="L22" s="8">
        <f t="shared" si="1"/>
        <v>0</v>
      </c>
      <c r="N22" s="17"/>
      <c r="O22" s="17"/>
      <c r="P22" s="17"/>
      <c r="Q22" s="17"/>
      <c r="R22" s="17"/>
      <c r="S22" s="17"/>
      <c r="T22" s="17"/>
      <c r="U22" s="17"/>
      <c r="V22" s="17"/>
    </row>
    <row r="23" spans="2:28">
      <c r="B23" s="1" t="str">
        <f t="shared" si="7"/>
        <v/>
      </c>
      <c r="C23" t="str">
        <f t="shared" si="8"/>
        <v/>
      </c>
      <c r="D23" s="6"/>
      <c r="E23" s="6"/>
      <c r="F23" s="9">
        <f t="shared" si="6"/>
        <v>0</v>
      </c>
      <c r="G23">
        <f t="shared" si="2"/>
        <v>0</v>
      </c>
      <c r="H23" s="10">
        <f t="shared" si="0"/>
        <v>0</v>
      </c>
      <c r="I23" s="15">
        <f t="shared" si="3"/>
        <v>0</v>
      </c>
      <c r="J23">
        <f t="shared" si="4"/>
        <v>0</v>
      </c>
      <c r="K23" s="13">
        <f t="shared" si="5"/>
        <v>0</v>
      </c>
      <c r="L23" s="8">
        <f t="shared" si="1"/>
        <v>0</v>
      </c>
      <c r="N23" s="17"/>
      <c r="O23" s="17"/>
      <c r="P23" s="17"/>
      <c r="Q23" s="17"/>
      <c r="R23" s="17"/>
      <c r="S23" s="17"/>
      <c r="T23" s="17"/>
      <c r="U23" s="17"/>
      <c r="V23" s="17"/>
    </row>
    <row r="24" spans="2:28">
      <c r="B24" s="1" t="str">
        <f t="shared" si="7"/>
        <v/>
      </c>
      <c r="C24" t="str">
        <f t="shared" si="8"/>
        <v/>
      </c>
      <c r="D24" s="6"/>
      <c r="E24" s="6"/>
      <c r="F24" s="9">
        <f t="shared" si="6"/>
        <v>0</v>
      </c>
      <c r="G24">
        <f t="shared" si="2"/>
        <v>0</v>
      </c>
      <c r="H24" s="10">
        <f t="shared" si="0"/>
        <v>0</v>
      </c>
      <c r="I24" s="15">
        <f t="shared" si="3"/>
        <v>0</v>
      </c>
      <c r="J24">
        <f t="shared" si="4"/>
        <v>0</v>
      </c>
      <c r="K24" s="13">
        <f t="shared" si="5"/>
        <v>0</v>
      </c>
      <c r="L24" s="8">
        <f t="shared" si="1"/>
        <v>0</v>
      </c>
    </row>
    <row r="25" spans="2:28">
      <c r="B25" s="1" t="str">
        <f t="shared" si="7"/>
        <v/>
      </c>
      <c r="C25" t="str">
        <f t="shared" si="8"/>
        <v/>
      </c>
      <c r="D25" s="6"/>
      <c r="E25" s="6"/>
      <c r="F25" s="9">
        <f t="shared" si="6"/>
        <v>0</v>
      </c>
      <c r="G25">
        <f t="shared" si="2"/>
        <v>0</v>
      </c>
      <c r="H25" s="10">
        <f t="shared" si="0"/>
        <v>0</v>
      </c>
      <c r="I25" s="15">
        <f t="shared" si="3"/>
        <v>0</v>
      </c>
      <c r="J25">
        <f t="shared" si="4"/>
        <v>0</v>
      </c>
      <c r="K25" s="13">
        <f t="shared" si="5"/>
        <v>0</v>
      </c>
      <c r="L25" s="8">
        <f t="shared" si="1"/>
        <v>0</v>
      </c>
    </row>
    <row r="26" spans="2:28">
      <c r="B26" s="1" t="str">
        <f t="shared" si="7"/>
        <v/>
      </c>
      <c r="C26" t="str">
        <f t="shared" si="8"/>
        <v/>
      </c>
      <c r="D26" s="6"/>
      <c r="E26" s="6"/>
      <c r="F26" s="9">
        <f t="shared" si="6"/>
        <v>0</v>
      </c>
      <c r="G26">
        <f t="shared" si="2"/>
        <v>0</v>
      </c>
      <c r="H26" s="10">
        <f t="shared" si="0"/>
        <v>0</v>
      </c>
      <c r="I26" s="15">
        <f t="shared" si="3"/>
        <v>0</v>
      </c>
      <c r="J26">
        <f t="shared" si="4"/>
        <v>0</v>
      </c>
      <c r="K26" s="13">
        <f t="shared" si="5"/>
        <v>0</v>
      </c>
      <c r="L26" s="8">
        <f t="shared" si="1"/>
        <v>0</v>
      </c>
    </row>
    <row r="27" spans="2:28">
      <c r="B27" s="1" t="str">
        <f t="shared" si="7"/>
        <v/>
      </c>
      <c r="C27" t="str">
        <f t="shared" si="8"/>
        <v/>
      </c>
      <c r="D27" s="6"/>
      <c r="E27" s="6"/>
      <c r="F27" s="9">
        <f t="shared" si="6"/>
        <v>0</v>
      </c>
      <c r="G27">
        <f t="shared" si="2"/>
        <v>0</v>
      </c>
      <c r="H27" s="10">
        <f t="shared" si="0"/>
        <v>0</v>
      </c>
      <c r="I27" s="15">
        <f t="shared" si="3"/>
        <v>0</v>
      </c>
      <c r="J27">
        <f t="shared" si="4"/>
        <v>0</v>
      </c>
      <c r="K27" s="13">
        <f t="shared" si="5"/>
        <v>0</v>
      </c>
      <c r="L27" s="8">
        <f t="shared" si="1"/>
        <v>0</v>
      </c>
    </row>
    <row r="28" spans="2:28">
      <c r="B28" s="1" t="str">
        <f t="shared" si="7"/>
        <v/>
      </c>
      <c r="C28" t="str">
        <f t="shared" si="8"/>
        <v/>
      </c>
      <c r="D28" s="6"/>
      <c r="E28" s="6"/>
      <c r="F28" s="9">
        <f t="shared" si="6"/>
        <v>0</v>
      </c>
      <c r="G28">
        <f t="shared" si="2"/>
        <v>0</v>
      </c>
      <c r="H28" s="10">
        <f t="shared" si="0"/>
        <v>0</v>
      </c>
      <c r="I28" s="15">
        <f t="shared" si="3"/>
        <v>0</v>
      </c>
      <c r="J28">
        <f t="shared" si="4"/>
        <v>0</v>
      </c>
      <c r="K28" s="13">
        <f t="shared" si="5"/>
        <v>0</v>
      </c>
      <c r="L28" s="8">
        <f t="shared" si="1"/>
        <v>0</v>
      </c>
    </row>
    <row r="29" spans="2:28">
      <c r="B29" s="1" t="str">
        <f t="shared" si="7"/>
        <v/>
      </c>
      <c r="C29" t="str">
        <f t="shared" si="8"/>
        <v/>
      </c>
      <c r="D29" s="6"/>
      <c r="E29" s="6"/>
      <c r="F29" s="9">
        <f t="shared" si="6"/>
        <v>0</v>
      </c>
      <c r="G29">
        <f t="shared" si="2"/>
        <v>0</v>
      </c>
      <c r="H29" s="10">
        <f t="shared" si="0"/>
        <v>0</v>
      </c>
      <c r="I29" s="15">
        <f t="shared" si="3"/>
        <v>0</v>
      </c>
      <c r="J29">
        <f t="shared" si="4"/>
        <v>0</v>
      </c>
      <c r="K29" s="13">
        <f t="shared" si="5"/>
        <v>0</v>
      </c>
      <c r="L29" s="8">
        <f t="shared" si="1"/>
        <v>0</v>
      </c>
    </row>
    <row r="30" spans="2:28">
      <c r="B30" s="1" t="str">
        <f t="shared" si="7"/>
        <v/>
      </c>
      <c r="C30" t="str">
        <f t="shared" si="8"/>
        <v/>
      </c>
      <c r="D30" s="6"/>
      <c r="E30" s="6"/>
      <c r="F30" s="9">
        <f t="shared" si="6"/>
        <v>0</v>
      </c>
      <c r="G30">
        <f t="shared" si="2"/>
        <v>0</v>
      </c>
      <c r="H30" s="10">
        <f t="shared" si="0"/>
        <v>0</v>
      </c>
      <c r="I30" s="15">
        <f t="shared" si="3"/>
        <v>0</v>
      </c>
      <c r="J30">
        <f t="shared" si="4"/>
        <v>0</v>
      </c>
      <c r="K30" s="13">
        <f t="shared" si="5"/>
        <v>0</v>
      </c>
      <c r="L30" s="8">
        <f t="shared" si="1"/>
        <v>0</v>
      </c>
    </row>
    <row r="31" spans="2:28">
      <c r="B31" s="1" t="str">
        <f t="shared" si="7"/>
        <v/>
      </c>
      <c r="C31" t="str">
        <f t="shared" si="8"/>
        <v/>
      </c>
      <c r="D31" s="6"/>
      <c r="E31" s="6"/>
      <c r="F31" s="9">
        <f t="shared" si="6"/>
        <v>0</v>
      </c>
      <c r="G31">
        <f t="shared" si="2"/>
        <v>0</v>
      </c>
      <c r="H31" s="10">
        <f t="shared" si="0"/>
        <v>0</v>
      </c>
      <c r="I31" s="15">
        <f t="shared" si="3"/>
        <v>0</v>
      </c>
      <c r="J31">
        <f t="shared" si="4"/>
        <v>0</v>
      </c>
      <c r="K31" s="13">
        <f t="shared" si="5"/>
        <v>0</v>
      </c>
      <c r="L31" s="8">
        <f t="shared" si="1"/>
        <v>0</v>
      </c>
    </row>
    <row r="32" spans="2:28">
      <c r="B32" s="1" t="str">
        <f t="shared" si="7"/>
        <v/>
      </c>
      <c r="C32" t="str">
        <f t="shared" si="8"/>
        <v/>
      </c>
      <c r="D32" s="6"/>
      <c r="E32" s="6"/>
      <c r="F32" s="9">
        <f t="shared" si="6"/>
        <v>0</v>
      </c>
      <c r="G32">
        <f t="shared" si="2"/>
        <v>0</v>
      </c>
      <c r="H32" s="10">
        <f t="shared" si="0"/>
        <v>0</v>
      </c>
      <c r="I32" s="15">
        <f t="shared" si="3"/>
        <v>0</v>
      </c>
      <c r="J32">
        <f t="shared" si="4"/>
        <v>0</v>
      </c>
      <c r="K32" s="13">
        <f t="shared" si="5"/>
        <v>0</v>
      </c>
      <c r="L32" s="8">
        <f t="shared" si="1"/>
        <v>0</v>
      </c>
    </row>
    <row r="33" spans="2:12">
      <c r="B33" s="1" t="str">
        <f t="shared" si="7"/>
        <v/>
      </c>
      <c r="C33" t="str">
        <f t="shared" si="8"/>
        <v/>
      </c>
      <c r="D33" s="6"/>
      <c r="E33" s="6"/>
      <c r="F33" s="12">
        <f>SUM(F4:F32)</f>
        <v>0</v>
      </c>
      <c r="G33" s="11">
        <f>SUM(G4:G32)</f>
        <v>0</v>
      </c>
      <c r="H33" s="10">
        <f>SUM(H4:H32)</f>
        <v>0</v>
      </c>
      <c r="I33" s="15">
        <f>H33 * 100</f>
        <v>0</v>
      </c>
      <c r="J33" s="9">
        <f>SUM(J4:J32)</f>
        <v>0</v>
      </c>
      <c r="K33" s="13">
        <f>SUM(K4:K32)</f>
        <v>0</v>
      </c>
      <c r="L33" s="7">
        <f>SUM(L4:L32)</f>
        <v>0</v>
      </c>
    </row>
    <row r="34" spans="2:12">
      <c r="B34" s="1" t="str">
        <f t="shared" si="7"/>
        <v/>
      </c>
      <c r="C34" t="str">
        <f t="shared" si="8"/>
        <v/>
      </c>
      <c r="D34" s="6"/>
      <c r="E34" s="6"/>
      <c r="H34" s="14"/>
    </row>
    <row r="35" spans="2:12">
      <c r="B35" s="1" t="str">
        <f t="shared" si="7"/>
        <v/>
      </c>
      <c r="C35" t="str">
        <f t="shared" si="8"/>
        <v/>
      </c>
      <c r="D35" s="6"/>
      <c r="E35" s="6"/>
      <c r="H35" s="13"/>
    </row>
    <row r="36" spans="2:12">
      <c r="B36" s="1" t="str">
        <f t="shared" si="7"/>
        <v/>
      </c>
      <c r="C36" t="str">
        <f t="shared" si="8"/>
        <v/>
      </c>
      <c r="D36" s="6"/>
      <c r="E36" s="6"/>
    </row>
    <row r="37" spans="2:12">
      <c r="B37" s="1" t="str">
        <f t="shared" si="7"/>
        <v/>
      </c>
      <c r="C37" t="str">
        <f t="shared" si="8"/>
        <v/>
      </c>
      <c r="D37" s="6"/>
      <c r="E37" s="6"/>
    </row>
    <row r="38" spans="2:12">
      <c r="B38" s="1" t="str">
        <f t="shared" si="7"/>
        <v/>
      </c>
      <c r="C38" t="str">
        <f t="shared" si="8"/>
        <v/>
      </c>
      <c r="D38" s="6"/>
      <c r="E38" s="6"/>
    </row>
    <row r="39" spans="2:12">
      <c r="B39" s="1" t="str">
        <f t="shared" si="7"/>
        <v/>
      </c>
      <c r="C39" t="str">
        <f t="shared" si="8"/>
        <v/>
      </c>
      <c r="D39" s="6"/>
      <c r="E39" s="6"/>
    </row>
    <row r="40" spans="2:12">
      <c r="B40" s="1" t="str">
        <f t="shared" si="7"/>
        <v/>
      </c>
      <c r="C40" t="str">
        <f t="shared" si="8"/>
        <v/>
      </c>
      <c r="D40" s="6"/>
      <c r="E40" s="6"/>
    </row>
    <row r="41" spans="2:12">
      <c r="B41" s="1" t="str">
        <f t="shared" si="7"/>
        <v/>
      </c>
      <c r="C41" t="str">
        <f t="shared" si="8"/>
        <v/>
      </c>
      <c r="D41" s="6"/>
      <c r="E41" s="6"/>
    </row>
    <row r="42" spans="2:12">
      <c r="B42" s="1" t="str">
        <f t="shared" si="7"/>
        <v/>
      </c>
      <c r="C42" t="str">
        <f t="shared" si="8"/>
        <v/>
      </c>
      <c r="D42" s="6"/>
      <c r="E42" s="6"/>
    </row>
    <row r="43" spans="2:12">
      <c r="B43" s="1" t="str">
        <f t="shared" si="7"/>
        <v/>
      </c>
      <c r="C43" t="str">
        <f t="shared" si="8"/>
        <v/>
      </c>
      <c r="D43" s="6"/>
      <c r="E43" s="6"/>
    </row>
    <row r="44" spans="2:12">
      <c r="B44" s="1" t="str">
        <f t="shared" si="7"/>
        <v/>
      </c>
      <c r="C44" t="str">
        <f t="shared" si="8"/>
        <v/>
      </c>
      <c r="D44" s="6"/>
      <c r="E44" s="6"/>
    </row>
    <row r="45" spans="2:12">
      <c r="B45" s="1" t="str">
        <f t="shared" si="7"/>
        <v/>
      </c>
      <c r="C45" t="str">
        <f t="shared" si="8"/>
        <v/>
      </c>
      <c r="D45" s="6"/>
      <c r="E45" s="6"/>
    </row>
    <row r="46" spans="2:12">
      <c r="B46" s="1" t="str">
        <f t="shared" si="7"/>
        <v/>
      </c>
      <c r="C46" t="str">
        <f t="shared" si="8"/>
        <v/>
      </c>
      <c r="D46" s="6"/>
      <c r="E46" s="6"/>
    </row>
    <row r="47" spans="2:12">
      <c r="B47" s="1" t="str">
        <f t="shared" si="7"/>
        <v/>
      </c>
      <c r="C47" t="str">
        <f t="shared" si="8"/>
        <v/>
      </c>
      <c r="D47" s="6"/>
      <c r="E47" s="6"/>
    </row>
    <row r="48" spans="2:12">
      <c r="B48" s="1" t="str">
        <f t="shared" si="7"/>
        <v/>
      </c>
      <c r="C48" t="str">
        <f t="shared" si="8"/>
        <v/>
      </c>
      <c r="D48" s="6"/>
      <c r="E48" s="6"/>
    </row>
    <row r="49" spans="2:5">
      <c r="B49" s="1" t="str">
        <f t="shared" si="7"/>
        <v/>
      </c>
      <c r="C49" t="str">
        <f t="shared" si="8"/>
        <v/>
      </c>
      <c r="D49" s="6"/>
      <c r="E49" s="6"/>
    </row>
    <row r="50" spans="2:5">
      <c r="B50" s="1" t="str">
        <f t="shared" si="7"/>
        <v/>
      </c>
      <c r="C50" t="str">
        <f t="shared" si="8"/>
        <v/>
      </c>
      <c r="D50" s="6"/>
      <c r="E50" s="6"/>
    </row>
    <row r="51" spans="2:5">
      <c r="B51" s="1" t="str">
        <f t="shared" si="7"/>
        <v/>
      </c>
      <c r="C51" t="str">
        <f t="shared" si="8"/>
        <v/>
      </c>
      <c r="D51" s="6"/>
      <c r="E51" s="6"/>
    </row>
    <row r="52" spans="2:5">
      <c r="B52" s="1" t="str">
        <f t="shared" si="7"/>
        <v/>
      </c>
      <c r="C52" t="str">
        <f t="shared" si="8"/>
        <v/>
      </c>
      <c r="D52" s="6"/>
      <c r="E52" s="6"/>
    </row>
    <row r="53" spans="2:5">
      <c r="B53" s="1" t="str">
        <f t="shared" si="7"/>
        <v/>
      </c>
      <c r="C53" t="str">
        <f t="shared" si="8"/>
        <v/>
      </c>
      <c r="D53" s="6"/>
      <c r="E53" s="6"/>
    </row>
    <row r="54" spans="2:5">
      <c r="B54" s="1" t="str">
        <f t="shared" si="7"/>
        <v/>
      </c>
      <c r="C54" t="str">
        <f t="shared" si="8"/>
        <v/>
      </c>
      <c r="D54" s="6"/>
      <c r="E54" s="6"/>
    </row>
    <row r="55" spans="2:5">
      <c r="B55" s="1" t="str">
        <f t="shared" si="7"/>
        <v/>
      </c>
      <c r="C55" t="str">
        <f t="shared" si="8"/>
        <v/>
      </c>
      <c r="D55" s="6"/>
      <c r="E55" s="6"/>
    </row>
    <row r="56" spans="2:5">
      <c r="B56" s="1" t="str">
        <f t="shared" si="7"/>
        <v/>
      </c>
      <c r="C56" t="str">
        <f t="shared" si="8"/>
        <v/>
      </c>
      <c r="D56" s="6"/>
      <c r="E56" s="6"/>
    </row>
    <row r="57" spans="2:5">
      <c r="B57" s="1" t="str">
        <f t="shared" si="7"/>
        <v/>
      </c>
      <c r="C57" t="str">
        <f t="shared" si="8"/>
        <v/>
      </c>
      <c r="D57" s="6"/>
      <c r="E57" s="6"/>
    </row>
    <row r="58" spans="2:5">
      <c r="B58" s="1" t="str">
        <f t="shared" si="7"/>
        <v/>
      </c>
      <c r="C58" t="str">
        <f t="shared" si="8"/>
        <v/>
      </c>
      <c r="D58" s="6"/>
      <c r="E58" s="6"/>
    </row>
    <row r="59" spans="2:5">
      <c r="B59" s="1" t="str">
        <f t="shared" si="7"/>
        <v/>
      </c>
      <c r="C59" t="str">
        <f t="shared" si="8"/>
        <v/>
      </c>
      <c r="D59" s="6"/>
      <c r="E59" s="6"/>
    </row>
    <row r="60" spans="2:5">
      <c r="B60" s="1" t="str">
        <f t="shared" si="7"/>
        <v/>
      </c>
      <c r="C60" t="str">
        <f t="shared" si="8"/>
        <v/>
      </c>
      <c r="D60" s="6"/>
      <c r="E60" s="6"/>
    </row>
    <row r="61" spans="2:5">
      <c r="B61" s="1" t="str">
        <f t="shared" si="7"/>
        <v/>
      </c>
      <c r="C61" t="str">
        <f t="shared" si="8"/>
        <v/>
      </c>
      <c r="D61" s="6"/>
      <c r="E61" s="6"/>
    </row>
    <row r="62" spans="2:5">
      <c r="B62" s="1" t="str">
        <f t="shared" si="7"/>
        <v/>
      </c>
      <c r="C62" t="str">
        <f t="shared" si="8"/>
        <v/>
      </c>
      <c r="D62" s="6"/>
      <c r="E62" s="6"/>
    </row>
    <row r="63" spans="2:5">
      <c r="B63" s="1" t="str">
        <f t="shared" si="7"/>
        <v/>
      </c>
      <c r="C63" t="str">
        <f t="shared" si="8"/>
        <v/>
      </c>
      <c r="D63" s="6"/>
      <c r="E63" s="6"/>
    </row>
    <row r="64" spans="2:5">
      <c r="B64" s="1" t="str">
        <f t="shared" si="7"/>
        <v/>
      </c>
      <c r="C64" t="str">
        <f t="shared" si="8"/>
        <v/>
      </c>
      <c r="D64" s="6"/>
      <c r="E64" s="6"/>
    </row>
    <row r="65" spans="2:5">
      <c r="B65" s="1" t="str">
        <f t="shared" si="7"/>
        <v/>
      </c>
      <c r="C65" t="str">
        <f t="shared" si="8"/>
        <v/>
      </c>
      <c r="D65" s="6"/>
      <c r="E65" s="6"/>
    </row>
    <row r="66" spans="2:5">
      <c r="B66" s="1" t="str">
        <f t="shared" si="7"/>
        <v/>
      </c>
      <c r="C66" t="str">
        <f t="shared" si="8"/>
        <v/>
      </c>
      <c r="D66" s="6"/>
      <c r="E66" s="6"/>
    </row>
    <row r="67" spans="2:5">
      <c r="B67" s="1" t="str">
        <f t="shared" si="7"/>
        <v/>
      </c>
      <c r="C67" t="str">
        <f t="shared" si="8"/>
        <v/>
      </c>
      <c r="D67" s="6"/>
      <c r="E67" s="6"/>
    </row>
    <row r="68" spans="2:5">
      <c r="B68" s="1" t="str">
        <f t="shared" si="7"/>
        <v/>
      </c>
      <c r="C68" t="str">
        <f t="shared" si="8"/>
        <v/>
      </c>
      <c r="D68" s="6"/>
      <c r="E68" s="6"/>
    </row>
    <row r="69" spans="2:5">
      <c r="B69" s="1" t="str">
        <f t="shared" ref="B69:B132" si="9">IF(A69="", "", TEXT(A69, "mmmm"))</f>
        <v/>
      </c>
      <c r="C69" t="str">
        <f t="shared" ref="C69:C132" si="10">IF(A69="", "", TEXT(A69, "dddd"))</f>
        <v/>
      </c>
      <c r="D69" s="6"/>
      <c r="E69" s="6"/>
    </row>
    <row r="70" spans="2:5">
      <c r="B70" s="1" t="str">
        <f t="shared" si="9"/>
        <v/>
      </c>
      <c r="C70" t="str">
        <f t="shared" si="10"/>
        <v/>
      </c>
      <c r="D70" s="6"/>
      <c r="E70" s="6"/>
    </row>
    <row r="71" spans="2:5">
      <c r="B71" s="1" t="str">
        <f t="shared" si="9"/>
        <v/>
      </c>
      <c r="C71" t="str">
        <f t="shared" si="10"/>
        <v/>
      </c>
      <c r="D71" s="6"/>
      <c r="E71" s="6"/>
    </row>
    <row r="72" spans="2:5">
      <c r="B72" s="1" t="str">
        <f t="shared" si="9"/>
        <v/>
      </c>
      <c r="C72" t="str">
        <f t="shared" si="10"/>
        <v/>
      </c>
      <c r="D72" s="6"/>
      <c r="E72" s="6"/>
    </row>
    <row r="73" spans="2:5">
      <c r="B73" s="1" t="str">
        <f t="shared" si="9"/>
        <v/>
      </c>
      <c r="C73" t="str">
        <f t="shared" si="10"/>
        <v/>
      </c>
      <c r="D73" s="6"/>
      <c r="E73" s="6"/>
    </row>
    <row r="74" spans="2:5">
      <c r="B74" s="1" t="str">
        <f t="shared" si="9"/>
        <v/>
      </c>
      <c r="C74" t="str">
        <f t="shared" si="10"/>
        <v/>
      </c>
      <c r="D74" s="6"/>
      <c r="E74" s="6"/>
    </row>
    <row r="75" spans="2:5">
      <c r="B75" s="1" t="str">
        <f t="shared" si="9"/>
        <v/>
      </c>
      <c r="C75" t="str">
        <f t="shared" si="10"/>
        <v/>
      </c>
      <c r="D75" s="6"/>
      <c r="E75" s="6"/>
    </row>
    <row r="76" spans="2:5">
      <c r="B76" s="1" t="str">
        <f t="shared" si="9"/>
        <v/>
      </c>
      <c r="C76" t="str">
        <f t="shared" si="10"/>
        <v/>
      </c>
      <c r="D76" s="6"/>
      <c r="E76" s="6"/>
    </row>
    <row r="77" spans="2:5">
      <c r="B77" s="1" t="str">
        <f t="shared" si="9"/>
        <v/>
      </c>
      <c r="C77" t="str">
        <f t="shared" si="10"/>
        <v/>
      </c>
      <c r="D77" s="6"/>
      <c r="E77" s="6"/>
    </row>
    <row r="78" spans="2:5">
      <c r="B78" s="1" t="str">
        <f t="shared" si="9"/>
        <v/>
      </c>
      <c r="C78" t="str">
        <f t="shared" si="10"/>
        <v/>
      </c>
      <c r="D78" s="6"/>
      <c r="E78" s="6"/>
    </row>
    <row r="79" spans="2:5">
      <c r="B79" s="1" t="str">
        <f t="shared" si="9"/>
        <v/>
      </c>
      <c r="C79" t="str">
        <f t="shared" si="10"/>
        <v/>
      </c>
      <c r="D79" s="6"/>
      <c r="E79" s="6"/>
    </row>
    <row r="80" spans="2:5">
      <c r="B80" s="1" t="str">
        <f t="shared" si="9"/>
        <v/>
      </c>
      <c r="C80" t="str">
        <f t="shared" si="10"/>
        <v/>
      </c>
      <c r="D80" s="6"/>
      <c r="E80" s="6"/>
    </row>
    <row r="81" spans="2:5">
      <c r="B81" s="1" t="str">
        <f t="shared" si="9"/>
        <v/>
      </c>
      <c r="C81" t="str">
        <f t="shared" si="10"/>
        <v/>
      </c>
      <c r="D81" s="6"/>
      <c r="E81" s="6"/>
    </row>
    <row r="82" spans="2:5">
      <c r="B82" s="1" t="str">
        <f t="shared" si="9"/>
        <v/>
      </c>
      <c r="C82" t="str">
        <f t="shared" si="10"/>
        <v/>
      </c>
      <c r="D82" s="6"/>
      <c r="E82" s="6"/>
    </row>
    <row r="83" spans="2:5">
      <c r="B83" s="1" t="str">
        <f t="shared" si="9"/>
        <v/>
      </c>
      <c r="C83" t="str">
        <f t="shared" si="10"/>
        <v/>
      </c>
      <c r="D83" s="6"/>
      <c r="E83" s="6"/>
    </row>
    <row r="84" spans="2:5">
      <c r="B84" s="1" t="str">
        <f t="shared" si="9"/>
        <v/>
      </c>
      <c r="C84" t="str">
        <f t="shared" si="10"/>
        <v/>
      </c>
      <c r="D84" s="6"/>
      <c r="E84" s="6"/>
    </row>
    <row r="85" spans="2:5">
      <c r="B85" s="1" t="str">
        <f t="shared" si="9"/>
        <v/>
      </c>
      <c r="C85" t="str">
        <f t="shared" si="10"/>
        <v/>
      </c>
      <c r="D85" s="6"/>
      <c r="E85" s="6"/>
    </row>
    <row r="86" spans="2:5">
      <c r="B86" s="1" t="str">
        <f t="shared" si="9"/>
        <v/>
      </c>
      <c r="C86" t="str">
        <f t="shared" si="10"/>
        <v/>
      </c>
      <c r="D86" s="6"/>
      <c r="E86" s="6"/>
    </row>
    <row r="87" spans="2:5">
      <c r="B87" s="1" t="str">
        <f t="shared" si="9"/>
        <v/>
      </c>
      <c r="C87" t="str">
        <f t="shared" si="10"/>
        <v/>
      </c>
      <c r="D87" s="6"/>
      <c r="E87" s="6"/>
    </row>
    <row r="88" spans="2:5">
      <c r="B88" s="1" t="str">
        <f t="shared" si="9"/>
        <v/>
      </c>
      <c r="C88" t="str">
        <f t="shared" si="10"/>
        <v/>
      </c>
      <c r="D88" s="6"/>
      <c r="E88" s="6"/>
    </row>
    <row r="89" spans="2:5">
      <c r="B89" s="1" t="str">
        <f t="shared" si="9"/>
        <v/>
      </c>
      <c r="C89" t="str">
        <f t="shared" si="10"/>
        <v/>
      </c>
      <c r="D89" s="6"/>
      <c r="E89" s="6"/>
    </row>
    <row r="90" spans="2:5">
      <c r="B90" s="1" t="str">
        <f t="shared" si="9"/>
        <v/>
      </c>
      <c r="C90" t="str">
        <f t="shared" si="10"/>
        <v/>
      </c>
      <c r="D90" s="6"/>
      <c r="E90" s="6"/>
    </row>
    <row r="91" spans="2:5">
      <c r="B91" s="1" t="str">
        <f t="shared" si="9"/>
        <v/>
      </c>
      <c r="C91" t="str">
        <f t="shared" si="10"/>
        <v/>
      </c>
      <c r="D91" s="6"/>
      <c r="E91" s="6"/>
    </row>
    <row r="92" spans="2:5">
      <c r="B92" s="1" t="str">
        <f t="shared" si="9"/>
        <v/>
      </c>
      <c r="C92" t="str">
        <f t="shared" si="10"/>
        <v/>
      </c>
      <c r="D92" s="6"/>
      <c r="E92" s="6"/>
    </row>
    <row r="93" spans="2:5">
      <c r="B93" s="1" t="str">
        <f t="shared" si="9"/>
        <v/>
      </c>
      <c r="C93" t="str">
        <f t="shared" si="10"/>
        <v/>
      </c>
      <c r="D93" s="6"/>
      <c r="E93" s="6"/>
    </row>
    <row r="94" spans="2:5">
      <c r="B94" s="1" t="str">
        <f t="shared" si="9"/>
        <v/>
      </c>
      <c r="C94" t="str">
        <f t="shared" si="10"/>
        <v/>
      </c>
      <c r="D94" s="6"/>
      <c r="E94" s="6"/>
    </row>
    <row r="95" spans="2:5">
      <c r="B95" s="1" t="str">
        <f t="shared" si="9"/>
        <v/>
      </c>
      <c r="C95" t="str">
        <f t="shared" si="10"/>
        <v/>
      </c>
      <c r="D95" s="6"/>
      <c r="E95" s="6"/>
    </row>
    <row r="96" spans="2:5">
      <c r="B96" s="1" t="str">
        <f t="shared" si="9"/>
        <v/>
      </c>
      <c r="C96" t="str">
        <f t="shared" si="10"/>
        <v/>
      </c>
      <c r="D96" s="6"/>
      <c r="E96" s="6"/>
    </row>
    <row r="97" spans="2:5">
      <c r="B97" s="1" t="str">
        <f t="shared" si="9"/>
        <v/>
      </c>
      <c r="C97" t="str">
        <f t="shared" si="10"/>
        <v/>
      </c>
      <c r="D97" s="6"/>
      <c r="E97" s="6"/>
    </row>
    <row r="98" spans="2:5">
      <c r="B98" s="1" t="str">
        <f t="shared" si="9"/>
        <v/>
      </c>
      <c r="C98" t="str">
        <f t="shared" si="10"/>
        <v/>
      </c>
      <c r="D98" s="6"/>
      <c r="E98" s="6"/>
    </row>
    <row r="99" spans="2:5">
      <c r="B99" s="1" t="str">
        <f t="shared" si="9"/>
        <v/>
      </c>
      <c r="C99" t="str">
        <f t="shared" si="10"/>
        <v/>
      </c>
      <c r="D99" s="6"/>
      <c r="E99" s="6"/>
    </row>
    <row r="100" spans="2:5">
      <c r="B100" s="1" t="str">
        <f t="shared" si="9"/>
        <v/>
      </c>
      <c r="C100" t="str">
        <f t="shared" si="10"/>
        <v/>
      </c>
      <c r="D100" s="6"/>
      <c r="E100" s="6"/>
    </row>
    <row r="101" spans="2:5">
      <c r="B101" s="1" t="str">
        <f t="shared" si="9"/>
        <v/>
      </c>
      <c r="C101" t="str">
        <f t="shared" si="10"/>
        <v/>
      </c>
      <c r="D101" s="6"/>
      <c r="E101" s="6"/>
    </row>
    <row r="102" spans="2:5">
      <c r="B102" s="1" t="str">
        <f t="shared" si="9"/>
        <v/>
      </c>
      <c r="C102" t="str">
        <f t="shared" si="10"/>
        <v/>
      </c>
      <c r="D102" s="6"/>
      <c r="E102" s="6"/>
    </row>
    <row r="103" spans="2:5">
      <c r="B103" s="1" t="str">
        <f t="shared" si="9"/>
        <v/>
      </c>
      <c r="C103" t="str">
        <f t="shared" si="10"/>
        <v/>
      </c>
      <c r="D103" s="6"/>
      <c r="E103" s="6"/>
    </row>
    <row r="104" spans="2:5">
      <c r="B104" s="1" t="str">
        <f t="shared" si="9"/>
        <v/>
      </c>
      <c r="C104" t="str">
        <f t="shared" si="10"/>
        <v/>
      </c>
      <c r="D104" s="6"/>
      <c r="E104" s="6"/>
    </row>
    <row r="105" spans="2:5">
      <c r="B105" s="1" t="str">
        <f t="shared" si="9"/>
        <v/>
      </c>
      <c r="C105" t="str">
        <f t="shared" si="10"/>
        <v/>
      </c>
    </row>
    <row r="106" spans="2:5">
      <c r="B106" s="1" t="str">
        <f t="shared" si="9"/>
        <v/>
      </c>
      <c r="C106" t="str">
        <f t="shared" si="10"/>
        <v/>
      </c>
    </row>
    <row r="107" spans="2:5">
      <c r="B107" s="1" t="str">
        <f t="shared" si="9"/>
        <v/>
      </c>
      <c r="C107" t="str">
        <f t="shared" si="10"/>
        <v/>
      </c>
    </row>
    <row r="108" spans="2:5">
      <c r="B108" s="1" t="str">
        <f t="shared" si="9"/>
        <v/>
      </c>
      <c r="C108" t="str">
        <f t="shared" si="10"/>
        <v/>
      </c>
    </row>
    <row r="109" spans="2:5">
      <c r="B109" s="1" t="str">
        <f t="shared" si="9"/>
        <v/>
      </c>
      <c r="C109" t="str">
        <f t="shared" si="10"/>
        <v/>
      </c>
    </row>
    <row r="110" spans="2:5">
      <c r="B110" s="1" t="str">
        <f t="shared" si="9"/>
        <v/>
      </c>
      <c r="C110" t="str">
        <f t="shared" si="10"/>
        <v/>
      </c>
    </row>
    <row r="111" spans="2:5">
      <c r="B111" s="1" t="str">
        <f t="shared" si="9"/>
        <v/>
      </c>
      <c r="C111" t="str">
        <f t="shared" si="10"/>
        <v/>
      </c>
    </row>
    <row r="112" spans="2:5">
      <c r="B112" s="1" t="str">
        <f t="shared" si="9"/>
        <v/>
      </c>
      <c r="C112" t="str">
        <f t="shared" si="10"/>
        <v/>
      </c>
    </row>
    <row r="113" spans="2:3">
      <c r="B113" s="1" t="str">
        <f t="shared" si="9"/>
        <v/>
      </c>
      <c r="C113" t="str">
        <f t="shared" si="10"/>
        <v/>
      </c>
    </row>
    <row r="114" spans="2:3">
      <c r="B114" s="1" t="str">
        <f t="shared" si="9"/>
        <v/>
      </c>
      <c r="C114" t="str">
        <f t="shared" si="10"/>
        <v/>
      </c>
    </row>
    <row r="115" spans="2:3">
      <c r="B115" s="1" t="str">
        <f t="shared" si="9"/>
        <v/>
      </c>
      <c r="C115" t="str">
        <f t="shared" si="10"/>
        <v/>
      </c>
    </row>
    <row r="116" spans="2:3">
      <c r="B116" s="1" t="str">
        <f t="shared" si="9"/>
        <v/>
      </c>
      <c r="C116" t="str">
        <f t="shared" si="10"/>
        <v/>
      </c>
    </row>
    <row r="117" spans="2:3">
      <c r="B117" s="1" t="str">
        <f t="shared" si="9"/>
        <v/>
      </c>
      <c r="C117" t="str">
        <f t="shared" si="10"/>
        <v/>
      </c>
    </row>
    <row r="118" spans="2:3">
      <c r="B118" s="1" t="str">
        <f t="shared" si="9"/>
        <v/>
      </c>
      <c r="C118" t="str">
        <f t="shared" si="10"/>
        <v/>
      </c>
    </row>
    <row r="119" spans="2:3">
      <c r="B119" s="1" t="str">
        <f t="shared" si="9"/>
        <v/>
      </c>
      <c r="C119" t="str">
        <f t="shared" si="10"/>
        <v/>
      </c>
    </row>
    <row r="120" spans="2:3">
      <c r="B120" s="1" t="str">
        <f t="shared" si="9"/>
        <v/>
      </c>
      <c r="C120" t="str">
        <f t="shared" si="10"/>
        <v/>
      </c>
    </row>
    <row r="121" spans="2:3">
      <c r="B121" s="1" t="str">
        <f t="shared" si="9"/>
        <v/>
      </c>
      <c r="C121" t="str">
        <f t="shared" si="10"/>
        <v/>
      </c>
    </row>
    <row r="122" spans="2:3">
      <c r="B122" s="1" t="str">
        <f t="shared" si="9"/>
        <v/>
      </c>
      <c r="C122" t="str">
        <f t="shared" si="10"/>
        <v/>
      </c>
    </row>
    <row r="123" spans="2:3">
      <c r="B123" s="1" t="str">
        <f t="shared" si="9"/>
        <v/>
      </c>
      <c r="C123" t="str">
        <f t="shared" si="10"/>
        <v/>
      </c>
    </row>
    <row r="124" spans="2:3">
      <c r="B124" s="1" t="str">
        <f t="shared" si="9"/>
        <v/>
      </c>
      <c r="C124" t="str">
        <f t="shared" si="10"/>
        <v/>
      </c>
    </row>
    <row r="125" spans="2:3">
      <c r="B125" s="1" t="str">
        <f t="shared" si="9"/>
        <v/>
      </c>
      <c r="C125" t="str">
        <f t="shared" si="10"/>
        <v/>
      </c>
    </row>
    <row r="126" spans="2:3">
      <c r="B126" s="1" t="str">
        <f t="shared" si="9"/>
        <v/>
      </c>
      <c r="C126" t="str">
        <f t="shared" si="10"/>
        <v/>
      </c>
    </row>
    <row r="127" spans="2:3">
      <c r="B127" s="1" t="str">
        <f t="shared" si="9"/>
        <v/>
      </c>
      <c r="C127" t="str">
        <f t="shared" si="10"/>
        <v/>
      </c>
    </row>
    <row r="128" spans="2:3">
      <c r="B128" s="1" t="str">
        <f t="shared" si="9"/>
        <v/>
      </c>
      <c r="C128" t="str">
        <f t="shared" si="10"/>
        <v/>
      </c>
    </row>
    <row r="129" spans="2:3">
      <c r="B129" s="1" t="str">
        <f t="shared" si="9"/>
        <v/>
      </c>
      <c r="C129" t="str">
        <f t="shared" si="10"/>
        <v/>
      </c>
    </row>
    <row r="130" spans="2:3">
      <c r="B130" s="1" t="str">
        <f t="shared" si="9"/>
        <v/>
      </c>
      <c r="C130" t="str">
        <f t="shared" si="10"/>
        <v/>
      </c>
    </row>
    <row r="131" spans="2:3">
      <c r="B131" s="1" t="str">
        <f t="shared" si="9"/>
        <v/>
      </c>
      <c r="C131" t="str">
        <f t="shared" si="10"/>
        <v/>
      </c>
    </row>
    <row r="132" spans="2:3">
      <c r="B132" s="1" t="str">
        <f t="shared" si="9"/>
        <v/>
      </c>
      <c r="C132" t="str">
        <f t="shared" si="10"/>
        <v/>
      </c>
    </row>
    <row r="133" spans="2:3">
      <c r="B133" s="1" t="str">
        <f t="shared" ref="B133:B196" si="11">IF(A133="", "", TEXT(A133, "mmmm"))</f>
        <v/>
      </c>
      <c r="C133" t="str">
        <f t="shared" ref="C133:C196" si="12">IF(A133="", "", TEXT(A133, "dddd"))</f>
        <v/>
      </c>
    </row>
    <row r="134" spans="2:3">
      <c r="B134" s="1" t="str">
        <f t="shared" si="11"/>
        <v/>
      </c>
      <c r="C134" t="str">
        <f t="shared" si="12"/>
        <v/>
      </c>
    </row>
    <row r="135" spans="2:3">
      <c r="B135" s="1" t="str">
        <f t="shared" si="11"/>
        <v/>
      </c>
      <c r="C135" t="str">
        <f t="shared" si="12"/>
        <v/>
      </c>
    </row>
    <row r="136" spans="2:3">
      <c r="B136" s="1" t="str">
        <f t="shared" si="11"/>
        <v/>
      </c>
      <c r="C136" t="str">
        <f t="shared" si="12"/>
        <v/>
      </c>
    </row>
    <row r="137" spans="2:3">
      <c r="B137" s="1" t="str">
        <f t="shared" si="11"/>
        <v/>
      </c>
      <c r="C137" t="str">
        <f t="shared" si="12"/>
        <v/>
      </c>
    </row>
    <row r="138" spans="2:3">
      <c r="B138" s="1" t="str">
        <f t="shared" si="11"/>
        <v/>
      </c>
      <c r="C138" t="str">
        <f t="shared" si="12"/>
        <v/>
      </c>
    </row>
    <row r="139" spans="2:3">
      <c r="B139" s="1" t="str">
        <f t="shared" si="11"/>
        <v/>
      </c>
      <c r="C139" t="str">
        <f t="shared" si="12"/>
        <v/>
      </c>
    </row>
    <row r="140" spans="2:3">
      <c r="B140" s="1" t="str">
        <f t="shared" si="11"/>
        <v/>
      </c>
      <c r="C140" t="str">
        <f t="shared" si="12"/>
        <v/>
      </c>
    </row>
    <row r="141" spans="2:3">
      <c r="B141" s="1" t="str">
        <f t="shared" si="11"/>
        <v/>
      </c>
      <c r="C141" t="str">
        <f t="shared" si="12"/>
        <v/>
      </c>
    </row>
    <row r="142" spans="2:3">
      <c r="B142" s="1" t="str">
        <f t="shared" si="11"/>
        <v/>
      </c>
      <c r="C142" t="str">
        <f t="shared" si="12"/>
        <v/>
      </c>
    </row>
    <row r="143" spans="2:3">
      <c r="B143" s="1" t="str">
        <f t="shared" si="11"/>
        <v/>
      </c>
      <c r="C143" t="str">
        <f t="shared" si="12"/>
        <v/>
      </c>
    </row>
    <row r="144" spans="2:3">
      <c r="B144" s="1" t="str">
        <f t="shared" si="11"/>
        <v/>
      </c>
      <c r="C144" t="str">
        <f t="shared" si="12"/>
        <v/>
      </c>
    </row>
    <row r="145" spans="2:3">
      <c r="B145" s="1" t="str">
        <f t="shared" si="11"/>
        <v/>
      </c>
      <c r="C145" t="str">
        <f t="shared" si="12"/>
        <v/>
      </c>
    </row>
    <row r="146" spans="2:3">
      <c r="B146" s="1" t="str">
        <f t="shared" si="11"/>
        <v/>
      </c>
      <c r="C146" t="str">
        <f t="shared" si="12"/>
        <v/>
      </c>
    </row>
    <row r="147" spans="2:3">
      <c r="B147" s="1" t="str">
        <f t="shared" si="11"/>
        <v/>
      </c>
      <c r="C147" t="str">
        <f t="shared" si="12"/>
        <v/>
      </c>
    </row>
    <row r="148" spans="2:3">
      <c r="B148" s="1" t="str">
        <f t="shared" si="11"/>
        <v/>
      </c>
      <c r="C148" t="str">
        <f t="shared" si="12"/>
        <v/>
      </c>
    </row>
    <row r="149" spans="2:3">
      <c r="B149" s="1" t="str">
        <f t="shared" si="11"/>
        <v/>
      </c>
      <c r="C149" t="str">
        <f t="shared" si="12"/>
        <v/>
      </c>
    </row>
    <row r="150" spans="2:3">
      <c r="B150" s="1" t="str">
        <f t="shared" si="11"/>
        <v/>
      </c>
      <c r="C150" t="str">
        <f t="shared" si="12"/>
        <v/>
      </c>
    </row>
    <row r="151" spans="2:3">
      <c r="B151" s="1" t="str">
        <f t="shared" si="11"/>
        <v/>
      </c>
      <c r="C151" t="str">
        <f t="shared" si="12"/>
        <v/>
      </c>
    </row>
    <row r="152" spans="2:3">
      <c r="B152" s="1" t="str">
        <f t="shared" si="11"/>
        <v/>
      </c>
      <c r="C152" t="str">
        <f t="shared" si="12"/>
        <v/>
      </c>
    </row>
    <row r="153" spans="2:3">
      <c r="B153" s="1" t="str">
        <f t="shared" si="11"/>
        <v/>
      </c>
      <c r="C153" t="str">
        <f t="shared" si="12"/>
        <v/>
      </c>
    </row>
    <row r="154" spans="2:3">
      <c r="B154" s="1" t="str">
        <f t="shared" si="11"/>
        <v/>
      </c>
      <c r="C154" t="str">
        <f t="shared" si="12"/>
        <v/>
      </c>
    </row>
    <row r="155" spans="2:3">
      <c r="B155" s="1" t="str">
        <f t="shared" si="11"/>
        <v/>
      </c>
      <c r="C155" t="str">
        <f t="shared" si="12"/>
        <v/>
      </c>
    </row>
    <row r="156" spans="2:3">
      <c r="B156" s="1" t="str">
        <f t="shared" si="11"/>
        <v/>
      </c>
      <c r="C156" t="str">
        <f t="shared" si="12"/>
        <v/>
      </c>
    </row>
    <row r="157" spans="2:3">
      <c r="B157" s="1" t="str">
        <f t="shared" si="11"/>
        <v/>
      </c>
      <c r="C157" t="str">
        <f t="shared" si="12"/>
        <v/>
      </c>
    </row>
    <row r="158" spans="2:3">
      <c r="B158" s="1" t="str">
        <f t="shared" si="11"/>
        <v/>
      </c>
      <c r="C158" t="str">
        <f t="shared" si="12"/>
        <v/>
      </c>
    </row>
    <row r="159" spans="2:3">
      <c r="B159" s="1" t="str">
        <f t="shared" si="11"/>
        <v/>
      </c>
      <c r="C159" t="str">
        <f t="shared" si="12"/>
        <v/>
      </c>
    </row>
    <row r="160" spans="2:3">
      <c r="B160" s="1" t="str">
        <f t="shared" si="11"/>
        <v/>
      </c>
      <c r="C160" t="str">
        <f t="shared" si="12"/>
        <v/>
      </c>
    </row>
    <row r="161" spans="2:3">
      <c r="B161" s="1" t="str">
        <f t="shared" si="11"/>
        <v/>
      </c>
      <c r="C161" t="str">
        <f t="shared" si="12"/>
        <v/>
      </c>
    </row>
    <row r="162" spans="2:3">
      <c r="B162" s="1" t="str">
        <f t="shared" si="11"/>
        <v/>
      </c>
      <c r="C162" t="str">
        <f t="shared" si="12"/>
        <v/>
      </c>
    </row>
    <row r="163" spans="2:3">
      <c r="B163" s="1" t="str">
        <f t="shared" si="11"/>
        <v/>
      </c>
      <c r="C163" t="str">
        <f t="shared" si="12"/>
        <v/>
      </c>
    </row>
    <row r="164" spans="2:3">
      <c r="B164" s="1" t="str">
        <f t="shared" si="11"/>
        <v/>
      </c>
      <c r="C164" t="str">
        <f t="shared" si="12"/>
        <v/>
      </c>
    </row>
    <row r="165" spans="2:3">
      <c r="B165" s="1" t="str">
        <f t="shared" si="11"/>
        <v/>
      </c>
      <c r="C165" t="str">
        <f t="shared" si="12"/>
        <v/>
      </c>
    </row>
    <row r="166" spans="2:3">
      <c r="B166" s="1" t="str">
        <f t="shared" si="11"/>
        <v/>
      </c>
      <c r="C166" t="str">
        <f t="shared" si="12"/>
        <v/>
      </c>
    </row>
    <row r="167" spans="2:3">
      <c r="B167" s="1" t="str">
        <f t="shared" si="11"/>
        <v/>
      </c>
      <c r="C167" t="str">
        <f t="shared" si="12"/>
        <v/>
      </c>
    </row>
    <row r="168" spans="2:3">
      <c r="B168" s="1" t="str">
        <f t="shared" si="11"/>
        <v/>
      </c>
      <c r="C168" t="str">
        <f t="shared" si="12"/>
        <v/>
      </c>
    </row>
    <row r="169" spans="2:3">
      <c r="B169" s="1" t="str">
        <f t="shared" si="11"/>
        <v/>
      </c>
      <c r="C169" t="str">
        <f t="shared" si="12"/>
        <v/>
      </c>
    </row>
    <row r="170" spans="2:3">
      <c r="B170" s="1" t="str">
        <f t="shared" si="11"/>
        <v/>
      </c>
      <c r="C170" t="str">
        <f t="shared" si="12"/>
        <v/>
      </c>
    </row>
    <row r="171" spans="2:3">
      <c r="B171" s="1" t="str">
        <f t="shared" si="11"/>
        <v/>
      </c>
      <c r="C171" t="str">
        <f t="shared" si="12"/>
        <v/>
      </c>
    </row>
    <row r="172" spans="2:3">
      <c r="B172" s="1" t="str">
        <f t="shared" si="11"/>
        <v/>
      </c>
      <c r="C172" t="str">
        <f t="shared" si="12"/>
        <v/>
      </c>
    </row>
    <row r="173" spans="2:3">
      <c r="B173" s="1" t="str">
        <f t="shared" si="11"/>
        <v/>
      </c>
      <c r="C173" t="str">
        <f t="shared" si="12"/>
        <v/>
      </c>
    </row>
    <row r="174" spans="2:3">
      <c r="B174" s="1" t="str">
        <f t="shared" si="11"/>
        <v/>
      </c>
      <c r="C174" t="str">
        <f t="shared" si="12"/>
        <v/>
      </c>
    </row>
    <row r="175" spans="2:3">
      <c r="B175" s="1" t="str">
        <f t="shared" si="11"/>
        <v/>
      </c>
      <c r="C175" t="str">
        <f t="shared" si="12"/>
        <v/>
      </c>
    </row>
    <row r="176" spans="2:3">
      <c r="B176" s="1" t="str">
        <f t="shared" si="11"/>
        <v/>
      </c>
      <c r="C176" t="str">
        <f t="shared" si="12"/>
        <v/>
      </c>
    </row>
    <row r="177" spans="2:3">
      <c r="B177" s="1" t="str">
        <f t="shared" si="11"/>
        <v/>
      </c>
      <c r="C177" t="str">
        <f t="shared" si="12"/>
        <v/>
      </c>
    </row>
    <row r="178" spans="2:3">
      <c r="B178" s="1" t="str">
        <f t="shared" si="11"/>
        <v/>
      </c>
      <c r="C178" t="str">
        <f t="shared" si="12"/>
        <v/>
      </c>
    </row>
    <row r="179" spans="2:3">
      <c r="B179" s="1" t="str">
        <f t="shared" si="11"/>
        <v/>
      </c>
      <c r="C179" t="str">
        <f t="shared" si="12"/>
        <v/>
      </c>
    </row>
    <row r="180" spans="2:3">
      <c r="B180" s="1" t="str">
        <f t="shared" si="11"/>
        <v/>
      </c>
      <c r="C180" t="str">
        <f t="shared" si="12"/>
        <v/>
      </c>
    </row>
    <row r="181" spans="2:3">
      <c r="B181" s="1" t="str">
        <f t="shared" si="11"/>
        <v/>
      </c>
      <c r="C181" t="str">
        <f t="shared" si="12"/>
        <v/>
      </c>
    </row>
    <row r="182" spans="2:3">
      <c r="B182" s="1" t="str">
        <f t="shared" si="11"/>
        <v/>
      </c>
      <c r="C182" t="str">
        <f t="shared" si="12"/>
        <v/>
      </c>
    </row>
    <row r="183" spans="2:3">
      <c r="B183" s="1" t="str">
        <f t="shared" si="11"/>
        <v/>
      </c>
      <c r="C183" t="str">
        <f t="shared" si="12"/>
        <v/>
      </c>
    </row>
    <row r="184" spans="2:3">
      <c r="B184" s="1" t="str">
        <f t="shared" si="11"/>
        <v/>
      </c>
      <c r="C184" t="str">
        <f t="shared" si="12"/>
        <v/>
      </c>
    </row>
    <row r="185" spans="2:3">
      <c r="B185" s="1" t="str">
        <f t="shared" si="11"/>
        <v/>
      </c>
      <c r="C185" t="str">
        <f t="shared" si="12"/>
        <v/>
      </c>
    </row>
    <row r="186" spans="2:3">
      <c r="B186" s="1" t="str">
        <f t="shared" si="11"/>
        <v/>
      </c>
      <c r="C186" t="str">
        <f t="shared" si="12"/>
        <v/>
      </c>
    </row>
    <row r="187" spans="2:3">
      <c r="B187" s="1" t="str">
        <f t="shared" si="11"/>
        <v/>
      </c>
      <c r="C187" t="str">
        <f t="shared" si="12"/>
        <v/>
      </c>
    </row>
    <row r="188" spans="2:3">
      <c r="B188" s="1" t="str">
        <f t="shared" si="11"/>
        <v/>
      </c>
      <c r="C188" t="str">
        <f t="shared" si="12"/>
        <v/>
      </c>
    </row>
    <row r="189" spans="2:3">
      <c r="B189" s="1" t="str">
        <f t="shared" si="11"/>
        <v/>
      </c>
      <c r="C189" t="str">
        <f t="shared" si="12"/>
        <v/>
      </c>
    </row>
    <row r="190" spans="2:3">
      <c r="B190" s="1" t="str">
        <f t="shared" si="11"/>
        <v/>
      </c>
      <c r="C190" t="str">
        <f t="shared" si="12"/>
        <v/>
      </c>
    </row>
    <row r="191" spans="2:3">
      <c r="B191" s="1" t="str">
        <f t="shared" si="11"/>
        <v/>
      </c>
      <c r="C191" t="str">
        <f t="shared" si="12"/>
        <v/>
      </c>
    </row>
    <row r="192" spans="2:3">
      <c r="B192" s="1" t="str">
        <f t="shared" si="11"/>
        <v/>
      </c>
      <c r="C192" t="str">
        <f t="shared" si="12"/>
        <v/>
      </c>
    </row>
    <row r="193" spans="2:3">
      <c r="B193" s="1" t="str">
        <f t="shared" si="11"/>
        <v/>
      </c>
      <c r="C193" t="str">
        <f t="shared" si="12"/>
        <v/>
      </c>
    </row>
    <row r="194" spans="2:3">
      <c r="B194" s="1" t="str">
        <f t="shared" si="11"/>
        <v/>
      </c>
      <c r="C194" t="str">
        <f t="shared" si="12"/>
        <v/>
      </c>
    </row>
    <row r="195" spans="2:3">
      <c r="B195" s="1" t="str">
        <f t="shared" si="11"/>
        <v/>
      </c>
      <c r="C195" t="str">
        <f t="shared" si="12"/>
        <v/>
      </c>
    </row>
    <row r="196" spans="2:3">
      <c r="B196" s="1" t="str">
        <f t="shared" si="11"/>
        <v/>
      </c>
      <c r="C196" t="str">
        <f t="shared" si="12"/>
        <v/>
      </c>
    </row>
    <row r="197" spans="2:3">
      <c r="B197" s="1" t="str">
        <f t="shared" ref="B197:B259" si="13">IF(A197="", "", TEXT(A197, "mmmm"))</f>
        <v/>
      </c>
      <c r="C197" t="str">
        <f t="shared" ref="C197:C260" si="14">IF(A197="", "", TEXT(A197, "dddd"))</f>
        <v/>
      </c>
    </row>
    <row r="198" spans="2:3">
      <c r="B198" s="1" t="str">
        <f t="shared" si="13"/>
        <v/>
      </c>
      <c r="C198" t="str">
        <f t="shared" si="14"/>
        <v/>
      </c>
    </row>
    <row r="199" spans="2:3">
      <c r="B199" s="1" t="str">
        <f t="shared" si="13"/>
        <v/>
      </c>
      <c r="C199" t="str">
        <f t="shared" si="14"/>
        <v/>
      </c>
    </row>
    <row r="200" spans="2:3">
      <c r="B200" s="1" t="str">
        <f t="shared" si="13"/>
        <v/>
      </c>
      <c r="C200" t="str">
        <f t="shared" si="14"/>
        <v/>
      </c>
    </row>
    <row r="201" spans="2:3">
      <c r="B201" s="1" t="str">
        <f t="shared" si="13"/>
        <v/>
      </c>
      <c r="C201" t="str">
        <f t="shared" si="14"/>
        <v/>
      </c>
    </row>
    <row r="202" spans="2:3">
      <c r="B202" s="1" t="str">
        <f t="shared" si="13"/>
        <v/>
      </c>
      <c r="C202" t="str">
        <f t="shared" si="14"/>
        <v/>
      </c>
    </row>
    <row r="203" spans="2:3">
      <c r="B203" s="1" t="str">
        <f t="shared" si="13"/>
        <v/>
      </c>
      <c r="C203" t="str">
        <f t="shared" si="14"/>
        <v/>
      </c>
    </row>
    <row r="204" spans="2:3">
      <c r="B204" s="1" t="str">
        <f t="shared" si="13"/>
        <v/>
      </c>
      <c r="C204" t="str">
        <f t="shared" si="14"/>
        <v/>
      </c>
    </row>
    <row r="205" spans="2:3">
      <c r="B205" s="1" t="str">
        <f t="shared" si="13"/>
        <v/>
      </c>
      <c r="C205" t="str">
        <f t="shared" si="14"/>
        <v/>
      </c>
    </row>
    <row r="206" spans="2:3">
      <c r="B206" s="1" t="str">
        <f t="shared" si="13"/>
        <v/>
      </c>
      <c r="C206" t="str">
        <f t="shared" si="14"/>
        <v/>
      </c>
    </row>
    <row r="207" spans="2:3">
      <c r="B207" s="1" t="str">
        <f t="shared" si="13"/>
        <v/>
      </c>
      <c r="C207" t="str">
        <f t="shared" si="14"/>
        <v/>
      </c>
    </row>
    <row r="208" spans="2:3">
      <c r="B208" s="1" t="str">
        <f t="shared" si="13"/>
        <v/>
      </c>
      <c r="C208" t="str">
        <f t="shared" si="14"/>
        <v/>
      </c>
    </row>
    <row r="209" spans="2:3">
      <c r="B209" s="1" t="str">
        <f t="shared" si="13"/>
        <v/>
      </c>
      <c r="C209" t="str">
        <f t="shared" si="14"/>
        <v/>
      </c>
    </row>
    <row r="210" spans="2:3">
      <c r="B210" s="1" t="str">
        <f t="shared" si="13"/>
        <v/>
      </c>
      <c r="C210" t="str">
        <f t="shared" si="14"/>
        <v/>
      </c>
    </row>
    <row r="211" spans="2:3">
      <c r="B211" s="1" t="str">
        <f t="shared" si="13"/>
        <v/>
      </c>
      <c r="C211" t="str">
        <f t="shared" si="14"/>
        <v/>
      </c>
    </row>
    <row r="212" spans="2:3">
      <c r="B212" s="1" t="str">
        <f t="shared" si="13"/>
        <v/>
      </c>
      <c r="C212" t="str">
        <f t="shared" si="14"/>
        <v/>
      </c>
    </row>
    <row r="213" spans="2:3">
      <c r="B213" s="1" t="str">
        <f t="shared" si="13"/>
        <v/>
      </c>
      <c r="C213" t="str">
        <f t="shared" si="14"/>
        <v/>
      </c>
    </row>
    <row r="214" spans="2:3">
      <c r="B214" s="1" t="str">
        <f t="shared" si="13"/>
        <v/>
      </c>
      <c r="C214" t="str">
        <f t="shared" si="14"/>
        <v/>
      </c>
    </row>
    <row r="215" spans="2:3">
      <c r="B215" s="1" t="str">
        <f t="shared" si="13"/>
        <v/>
      </c>
      <c r="C215" t="str">
        <f t="shared" si="14"/>
        <v/>
      </c>
    </row>
    <row r="216" spans="2:3">
      <c r="B216" s="1" t="str">
        <f t="shared" si="13"/>
        <v/>
      </c>
      <c r="C216" t="str">
        <f t="shared" si="14"/>
        <v/>
      </c>
    </row>
    <row r="217" spans="2:3">
      <c r="B217" s="1" t="str">
        <f t="shared" si="13"/>
        <v/>
      </c>
      <c r="C217" t="str">
        <f t="shared" si="14"/>
        <v/>
      </c>
    </row>
    <row r="218" spans="2:3">
      <c r="B218" s="1" t="str">
        <f t="shared" si="13"/>
        <v/>
      </c>
      <c r="C218" t="str">
        <f t="shared" si="14"/>
        <v/>
      </c>
    </row>
    <row r="219" spans="2:3">
      <c r="B219" s="1" t="str">
        <f t="shared" si="13"/>
        <v/>
      </c>
      <c r="C219" t="str">
        <f t="shared" si="14"/>
        <v/>
      </c>
    </row>
    <row r="220" spans="2:3">
      <c r="B220" s="1" t="str">
        <f t="shared" si="13"/>
        <v/>
      </c>
      <c r="C220" t="str">
        <f t="shared" si="14"/>
        <v/>
      </c>
    </row>
    <row r="221" spans="2:3">
      <c r="B221" s="1" t="str">
        <f t="shared" si="13"/>
        <v/>
      </c>
      <c r="C221" t="str">
        <f t="shared" si="14"/>
        <v/>
      </c>
    </row>
    <row r="222" spans="2:3">
      <c r="B222" s="1" t="str">
        <f t="shared" si="13"/>
        <v/>
      </c>
      <c r="C222" t="str">
        <f t="shared" si="14"/>
        <v/>
      </c>
    </row>
    <row r="223" spans="2:3">
      <c r="B223" s="1" t="str">
        <f t="shared" si="13"/>
        <v/>
      </c>
      <c r="C223" t="str">
        <f t="shared" si="14"/>
        <v/>
      </c>
    </row>
    <row r="224" spans="2:3">
      <c r="B224" s="1" t="str">
        <f t="shared" si="13"/>
        <v/>
      </c>
      <c r="C224" t="str">
        <f t="shared" si="14"/>
        <v/>
      </c>
    </row>
    <row r="225" spans="2:3">
      <c r="B225" s="1" t="str">
        <f t="shared" si="13"/>
        <v/>
      </c>
      <c r="C225" t="str">
        <f t="shared" si="14"/>
        <v/>
      </c>
    </row>
    <row r="226" spans="2:3">
      <c r="B226" s="1" t="str">
        <f t="shared" si="13"/>
        <v/>
      </c>
      <c r="C226" t="str">
        <f t="shared" si="14"/>
        <v/>
      </c>
    </row>
    <row r="227" spans="2:3">
      <c r="B227" s="1" t="str">
        <f t="shared" si="13"/>
        <v/>
      </c>
      <c r="C227" t="str">
        <f t="shared" si="14"/>
        <v/>
      </c>
    </row>
    <row r="228" spans="2:3">
      <c r="B228" s="1" t="str">
        <f t="shared" si="13"/>
        <v/>
      </c>
      <c r="C228" t="str">
        <f t="shared" si="14"/>
        <v/>
      </c>
    </row>
    <row r="229" spans="2:3">
      <c r="B229" s="1" t="str">
        <f t="shared" si="13"/>
        <v/>
      </c>
      <c r="C229" t="str">
        <f t="shared" si="14"/>
        <v/>
      </c>
    </row>
    <row r="230" spans="2:3">
      <c r="B230" s="1" t="str">
        <f t="shared" si="13"/>
        <v/>
      </c>
      <c r="C230" t="str">
        <f t="shared" si="14"/>
        <v/>
      </c>
    </row>
    <row r="231" spans="2:3">
      <c r="B231" s="1" t="str">
        <f t="shared" si="13"/>
        <v/>
      </c>
      <c r="C231" t="str">
        <f t="shared" si="14"/>
        <v/>
      </c>
    </row>
    <row r="232" spans="2:3">
      <c r="B232" s="1" t="str">
        <f t="shared" si="13"/>
        <v/>
      </c>
      <c r="C232" t="str">
        <f t="shared" si="14"/>
        <v/>
      </c>
    </row>
    <row r="233" spans="2:3">
      <c r="B233" s="1" t="str">
        <f t="shared" si="13"/>
        <v/>
      </c>
      <c r="C233" t="str">
        <f t="shared" si="14"/>
        <v/>
      </c>
    </row>
    <row r="234" spans="2:3">
      <c r="B234" s="1" t="str">
        <f t="shared" si="13"/>
        <v/>
      </c>
      <c r="C234" t="str">
        <f t="shared" si="14"/>
        <v/>
      </c>
    </row>
    <row r="235" spans="2:3">
      <c r="B235" s="1" t="str">
        <f t="shared" si="13"/>
        <v/>
      </c>
      <c r="C235" t="str">
        <f t="shared" si="14"/>
        <v/>
      </c>
    </row>
    <row r="236" spans="2:3">
      <c r="B236" s="1" t="str">
        <f t="shared" si="13"/>
        <v/>
      </c>
      <c r="C236" t="str">
        <f t="shared" si="14"/>
        <v/>
      </c>
    </row>
    <row r="237" spans="2:3">
      <c r="B237" s="1" t="str">
        <f t="shared" si="13"/>
        <v/>
      </c>
      <c r="C237" t="str">
        <f t="shared" si="14"/>
        <v/>
      </c>
    </row>
    <row r="238" spans="2:3">
      <c r="B238" s="1" t="str">
        <f t="shared" si="13"/>
        <v/>
      </c>
      <c r="C238" t="str">
        <f t="shared" si="14"/>
        <v/>
      </c>
    </row>
    <row r="239" spans="2:3">
      <c r="B239" s="1" t="str">
        <f t="shared" si="13"/>
        <v/>
      </c>
      <c r="C239" t="str">
        <f t="shared" si="14"/>
        <v/>
      </c>
    </row>
    <row r="240" spans="2:3">
      <c r="B240" s="1" t="str">
        <f t="shared" si="13"/>
        <v/>
      </c>
      <c r="C240" t="str">
        <f t="shared" si="14"/>
        <v/>
      </c>
    </row>
    <row r="241" spans="2:3">
      <c r="B241" s="1" t="str">
        <f t="shared" si="13"/>
        <v/>
      </c>
      <c r="C241" t="str">
        <f t="shared" si="14"/>
        <v/>
      </c>
    </row>
    <row r="242" spans="2:3">
      <c r="B242" s="1" t="str">
        <f t="shared" si="13"/>
        <v/>
      </c>
      <c r="C242" t="str">
        <f t="shared" si="14"/>
        <v/>
      </c>
    </row>
    <row r="243" spans="2:3">
      <c r="B243" s="1" t="str">
        <f t="shared" si="13"/>
        <v/>
      </c>
      <c r="C243" t="str">
        <f t="shared" si="14"/>
        <v/>
      </c>
    </row>
    <row r="244" spans="2:3">
      <c r="B244" s="1" t="str">
        <f t="shared" si="13"/>
        <v/>
      </c>
      <c r="C244" t="str">
        <f t="shared" si="14"/>
        <v/>
      </c>
    </row>
    <row r="245" spans="2:3">
      <c r="B245" s="1" t="str">
        <f t="shared" si="13"/>
        <v/>
      </c>
      <c r="C245" t="str">
        <f t="shared" si="14"/>
        <v/>
      </c>
    </row>
    <row r="246" spans="2:3">
      <c r="B246" s="1" t="str">
        <f t="shared" si="13"/>
        <v/>
      </c>
      <c r="C246" t="str">
        <f t="shared" si="14"/>
        <v/>
      </c>
    </row>
    <row r="247" spans="2:3">
      <c r="B247" s="1" t="str">
        <f t="shared" si="13"/>
        <v/>
      </c>
      <c r="C247" t="str">
        <f t="shared" si="14"/>
        <v/>
      </c>
    </row>
    <row r="248" spans="2:3">
      <c r="B248" s="1" t="str">
        <f t="shared" si="13"/>
        <v/>
      </c>
      <c r="C248" t="str">
        <f t="shared" si="14"/>
        <v/>
      </c>
    </row>
    <row r="249" spans="2:3">
      <c r="B249" s="1" t="str">
        <f t="shared" si="13"/>
        <v/>
      </c>
      <c r="C249" t="str">
        <f t="shared" si="14"/>
        <v/>
      </c>
    </row>
    <row r="250" spans="2:3">
      <c r="B250" s="1" t="str">
        <f t="shared" si="13"/>
        <v/>
      </c>
      <c r="C250" t="str">
        <f t="shared" si="14"/>
        <v/>
      </c>
    </row>
    <row r="251" spans="2:3">
      <c r="B251" s="1" t="str">
        <f t="shared" si="13"/>
        <v/>
      </c>
      <c r="C251" t="str">
        <f t="shared" si="14"/>
        <v/>
      </c>
    </row>
    <row r="252" spans="2:3">
      <c r="B252" s="1" t="str">
        <f t="shared" si="13"/>
        <v/>
      </c>
      <c r="C252" t="str">
        <f t="shared" si="14"/>
        <v/>
      </c>
    </row>
    <row r="253" spans="2:3">
      <c r="B253" s="1" t="str">
        <f t="shared" si="13"/>
        <v/>
      </c>
      <c r="C253" t="str">
        <f t="shared" si="14"/>
        <v/>
      </c>
    </row>
    <row r="254" spans="2:3">
      <c r="B254" s="1" t="str">
        <f t="shared" si="13"/>
        <v/>
      </c>
      <c r="C254" t="str">
        <f t="shared" si="14"/>
        <v/>
      </c>
    </row>
    <row r="255" spans="2:3">
      <c r="B255" s="1" t="str">
        <f t="shared" si="13"/>
        <v/>
      </c>
      <c r="C255" t="str">
        <f t="shared" si="14"/>
        <v/>
      </c>
    </row>
    <row r="256" spans="2:3">
      <c r="B256" s="1" t="str">
        <f t="shared" si="13"/>
        <v/>
      </c>
      <c r="C256" t="str">
        <f t="shared" si="14"/>
        <v/>
      </c>
    </row>
    <row r="257" spans="2:3">
      <c r="B257" s="1" t="str">
        <f t="shared" si="13"/>
        <v/>
      </c>
      <c r="C257" t="str">
        <f t="shared" si="14"/>
        <v/>
      </c>
    </row>
    <row r="258" spans="2:3">
      <c r="B258" s="1" t="str">
        <f t="shared" si="13"/>
        <v/>
      </c>
      <c r="C258" t="str">
        <f t="shared" si="14"/>
        <v/>
      </c>
    </row>
    <row r="259" spans="2:3">
      <c r="B259" s="1" t="str">
        <f t="shared" si="13"/>
        <v/>
      </c>
      <c r="C259" t="str">
        <f t="shared" si="14"/>
        <v/>
      </c>
    </row>
    <row r="260" spans="2:3">
      <c r="C260" t="str">
        <f t="shared" si="14"/>
        <v/>
      </c>
    </row>
    <row r="261" spans="2:3">
      <c r="C261" t="str">
        <f t="shared" ref="C261:C324" si="15">IF(A261="", "", TEXT(A261, "dddd"))</f>
        <v/>
      </c>
    </row>
    <row r="262" spans="2:3">
      <c r="C262" t="str">
        <f t="shared" si="15"/>
        <v/>
      </c>
    </row>
    <row r="263" spans="2:3">
      <c r="C263" t="str">
        <f t="shared" si="15"/>
        <v/>
      </c>
    </row>
    <row r="264" spans="2:3">
      <c r="C264" t="str">
        <f t="shared" si="15"/>
        <v/>
      </c>
    </row>
    <row r="265" spans="2:3">
      <c r="C265" t="str">
        <f t="shared" si="15"/>
        <v/>
      </c>
    </row>
    <row r="266" spans="2:3">
      <c r="C266" t="str">
        <f t="shared" si="15"/>
        <v/>
      </c>
    </row>
    <row r="267" spans="2:3">
      <c r="C267" t="str">
        <f t="shared" si="15"/>
        <v/>
      </c>
    </row>
    <row r="268" spans="2:3">
      <c r="C268" t="str">
        <f t="shared" si="15"/>
        <v/>
      </c>
    </row>
    <row r="269" spans="2:3">
      <c r="C269" t="str">
        <f t="shared" si="15"/>
        <v/>
      </c>
    </row>
    <row r="270" spans="2:3">
      <c r="C270" t="str">
        <f t="shared" si="15"/>
        <v/>
      </c>
    </row>
    <row r="271" spans="2:3">
      <c r="C271" t="str">
        <f t="shared" si="15"/>
        <v/>
      </c>
    </row>
    <row r="272" spans="2:3">
      <c r="C272" t="str">
        <f t="shared" si="15"/>
        <v/>
      </c>
    </row>
    <row r="273" spans="3:3">
      <c r="C273" t="str">
        <f t="shared" si="15"/>
        <v/>
      </c>
    </row>
    <row r="274" spans="3:3">
      <c r="C274" t="str">
        <f t="shared" si="15"/>
        <v/>
      </c>
    </row>
    <row r="275" spans="3:3">
      <c r="C275" t="str">
        <f t="shared" si="15"/>
        <v/>
      </c>
    </row>
    <row r="276" spans="3:3">
      <c r="C276" t="str">
        <f t="shared" si="15"/>
        <v/>
      </c>
    </row>
    <row r="277" spans="3:3">
      <c r="C277" t="str">
        <f t="shared" si="15"/>
        <v/>
      </c>
    </row>
    <row r="278" spans="3:3">
      <c r="C278" t="str">
        <f t="shared" si="15"/>
        <v/>
      </c>
    </row>
    <row r="279" spans="3:3">
      <c r="C279" t="str">
        <f t="shared" si="15"/>
        <v/>
      </c>
    </row>
    <row r="280" spans="3:3">
      <c r="C280" t="str">
        <f t="shared" si="15"/>
        <v/>
      </c>
    </row>
    <row r="281" spans="3:3">
      <c r="C281" t="str">
        <f t="shared" si="15"/>
        <v/>
      </c>
    </row>
    <row r="282" spans="3:3">
      <c r="C282" t="str">
        <f t="shared" si="15"/>
        <v/>
      </c>
    </row>
    <row r="283" spans="3:3">
      <c r="C283" t="str">
        <f t="shared" si="15"/>
        <v/>
      </c>
    </row>
    <row r="284" spans="3:3">
      <c r="C284" t="str">
        <f t="shared" si="15"/>
        <v/>
      </c>
    </row>
    <row r="285" spans="3:3">
      <c r="C285" t="str">
        <f t="shared" si="15"/>
        <v/>
      </c>
    </row>
    <row r="286" spans="3:3">
      <c r="C286" t="str">
        <f t="shared" si="15"/>
        <v/>
      </c>
    </row>
    <row r="287" spans="3:3">
      <c r="C287" t="str">
        <f t="shared" si="15"/>
        <v/>
      </c>
    </row>
    <row r="288" spans="3:3">
      <c r="C288" t="str">
        <f t="shared" si="15"/>
        <v/>
      </c>
    </row>
    <row r="289" spans="3:3">
      <c r="C289" t="str">
        <f t="shared" si="15"/>
        <v/>
      </c>
    </row>
    <row r="290" spans="3:3">
      <c r="C290" t="str">
        <f t="shared" si="15"/>
        <v/>
      </c>
    </row>
    <row r="291" spans="3:3">
      <c r="C291" t="str">
        <f t="shared" si="15"/>
        <v/>
      </c>
    </row>
    <row r="292" spans="3:3">
      <c r="C292" t="str">
        <f t="shared" si="15"/>
        <v/>
      </c>
    </row>
    <row r="293" spans="3:3">
      <c r="C293" t="str">
        <f t="shared" si="15"/>
        <v/>
      </c>
    </row>
    <row r="294" spans="3:3">
      <c r="C294" t="str">
        <f t="shared" si="15"/>
        <v/>
      </c>
    </row>
    <row r="295" spans="3:3">
      <c r="C295" t="str">
        <f t="shared" si="15"/>
        <v/>
      </c>
    </row>
    <row r="296" spans="3:3">
      <c r="C296" t="str">
        <f t="shared" si="15"/>
        <v/>
      </c>
    </row>
    <row r="297" spans="3:3">
      <c r="C297" t="str">
        <f t="shared" si="15"/>
        <v/>
      </c>
    </row>
    <row r="298" spans="3:3">
      <c r="C298" t="str">
        <f t="shared" si="15"/>
        <v/>
      </c>
    </row>
    <row r="299" spans="3:3">
      <c r="C299" t="str">
        <f t="shared" si="15"/>
        <v/>
      </c>
    </row>
    <row r="300" spans="3:3">
      <c r="C300" t="str">
        <f t="shared" si="15"/>
        <v/>
      </c>
    </row>
    <row r="301" spans="3:3">
      <c r="C301" t="str">
        <f t="shared" si="15"/>
        <v/>
      </c>
    </row>
    <row r="302" spans="3:3">
      <c r="C302" t="str">
        <f t="shared" si="15"/>
        <v/>
      </c>
    </row>
    <row r="303" spans="3:3">
      <c r="C303" t="str">
        <f t="shared" si="15"/>
        <v/>
      </c>
    </row>
    <row r="304" spans="3:3">
      <c r="C304" t="str">
        <f t="shared" si="15"/>
        <v/>
      </c>
    </row>
    <row r="305" spans="3:3">
      <c r="C305" t="str">
        <f t="shared" si="15"/>
        <v/>
      </c>
    </row>
    <row r="306" spans="3:3">
      <c r="C306" t="str">
        <f t="shared" si="15"/>
        <v/>
      </c>
    </row>
    <row r="307" spans="3:3">
      <c r="C307" t="str">
        <f t="shared" si="15"/>
        <v/>
      </c>
    </row>
    <row r="308" spans="3:3">
      <c r="C308" t="str">
        <f t="shared" si="15"/>
        <v/>
      </c>
    </row>
    <row r="309" spans="3:3">
      <c r="C309" t="str">
        <f t="shared" si="15"/>
        <v/>
      </c>
    </row>
    <row r="310" spans="3:3">
      <c r="C310" t="str">
        <f t="shared" si="15"/>
        <v/>
      </c>
    </row>
    <row r="311" spans="3:3">
      <c r="C311" t="str">
        <f t="shared" si="15"/>
        <v/>
      </c>
    </row>
    <row r="312" spans="3:3">
      <c r="C312" t="str">
        <f t="shared" si="15"/>
        <v/>
      </c>
    </row>
    <row r="313" spans="3:3">
      <c r="C313" t="str">
        <f t="shared" si="15"/>
        <v/>
      </c>
    </row>
    <row r="314" spans="3:3">
      <c r="C314" t="str">
        <f t="shared" si="15"/>
        <v/>
      </c>
    </row>
    <row r="315" spans="3:3">
      <c r="C315" t="str">
        <f t="shared" si="15"/>
        <v/>
      </c>
    </row>
    <row r="316" spans="3:3">
      <c r="C316" t="str">
        <f t="shared" si="15"/>
        <v/>
      </c>
    </row>
    <row r="317" spans="3:3">
      <c r="C317" t="str">
        <f t="shared" si="15"/>
        <v/>
      </c>
    </row>
    <row r="318" spans="3:3">
      <c r="C318" t="str">
        <f t="shared" si="15"/>
        <v/>
      </c>
    </row>
    <row r="319" spans="3:3">
      <c r="C319" t="str">
        <f t="shared" si="15"/>
        <v/>
      </c>
    </row>
    <row r="320" spans="3:3">
      <c r="C320" t="str">
        <f t="shared" si="15"/>
        <v/>
      </c>
    </row>
    <row r="321" spans="3:3">
      <c r="C321" t="str">
        <f t="shared" si="15"/>
        <v/>
      </c>
    </row>
    <row r="322" spans="3:3">
      <c r="C322" t="str">
        <f t="shared" si="15"/>
        <v/>
      </c>
    </row>
    <row r="323" spans="3:3">
      <c r="C323" t="str">
        <f t="shared" si="15"/>
        <v/>
      </c>
    </row>
    <row r="324" spans="3:3">
      <c r="C324" t="str">
        <f t="shared" si="15"/>
        <v/>
      </c>
    </row>
    <row r="325" spans="3:3">
      <c r="C325" t="str">
        <f t="shared" ref="C325:C388" si="16">IF(A325="", "", TEXT(A325, "dddd"))</f>
        <v/>
      </c>
    </row>
    <row r="326" spans="3:3">
      <c r="C326" t="str">
        <f t="shared" si="16"/>
        <v/>
      </c>
    </row>
    <row r="327" spans="3:3">
      <c r="C327" t="str">
        <f t="shared" si="16"/>
        <v/>
      </c>
    </row>
    <row r="328" spans="3:3">
      <c r="C328" t="str">
        <f t="shared" si="16"/>
        <v/>
      </c>
    </row>
    <row r="329" spans="3:3">
      <c r="C329" t="str">
        <f t="shared" si="16"/>
        <v/>
      </c>
    </row>
    <row r="330" spans="3:3">
      <c r="C330" t="str">
        <f t="shared" si="16"/>
        <v/>
      </c>
    </row>
    <row r="331" spans="3:3">
      <c r="C331" t="str">
        <f t="shared" si="16"/>
        <v/>
      </c>
    </row>
    <row r="332" spans="3:3">
      <c r="C332" t="str">
        <f t="shared" si="16"/>
        <v/>
      </c>
    </row>
    <row r="333" spans="3:3">
      <c r="C333" t="str">
        <f t="shared" si="16"/>
        <v/>
      </c>
    </row>
    <row r="334" spans="3:3">
      <c r="C334" t="str">
        <f t="shared" si="16"/>
        <v/>
      </c>
    </row>
    <row r="335" spans="3:3">
      <c r="C335" t="str">
        <f t="shared" si="16"/>
        <v/>
      </c>
    </row>
    <row r="336" spans="3:3">
      <c r="C336" t="str">
        <f t="shared" si="16"/>
        <v/>
      </c>
    </row>
    <row r="337" spans="3:3">
      <c r="C337" t="str">
        <f t="shared" si="16"/>
        <v/>
      </c>
    </row>
    <row r="338" spans="3:3">
      <c r="C338" t="str">
        <f t="shared" si="16"/>
        <v/>
      </c>
    </row>
    <row r="339" spans="3:3">
      <c r="C339" t="str">
        <f t="shared" si="16"/>
        <v/>
      </c>
    </row>
    <row r="340" spans="3:3">
      <c r="C340" t="str">
        <f t="shared" si="16"/>
        <v/>
      </c>
    </row>
    <row r="341" spans="3:3">
      <c r="C341" t="str">
        <f t="shared" si="16"/>
        <v/>
      </c>
    </row>
    <row r="342" spans="3:3">
      <c r="C342" t="str">
        <f t="shared" si="16"/>
        <v/>
      </c>
    </row>
    <row r="343" spans="3:3">
      <c r="C343" t="str">
        <f t="shared" si="16"/>
        <v/>
      </c>
    </row>
    <row r="344" spans="3:3">
      <c r="C344" t="str">
        <f t="shared" si="16"/>
        <v/>
      </c>
    </row>
    <row r="345" spans="3:3">
      <c r="C345" t="str">
        <f t="shared" si="16"/>
        <v/>
      </c>
    </row>
    <row r="346" spans="3:3">
      <c r="C346" t="str">
        <f t="shared" si="16"/>
        <v/>
      </c>
    </row>
    <row r="347" spans="3:3">
      <c r="C347" t="str">
        <f t="shared" si="16"/>
        <v/>
      </c>
    </row>
    <row r="348" spans="3:3">
      <c r="C348" t="str">
        <f t="shared" si="16"/>
        <v/>
      </c>
    </row>
    <row r="349" spans="3:3">
      <c r="C349" t="str">
        <f t="shared" si="16"/>
        <v/>
      </c>
    </row>
    <row r="350" spans="3:3">
      <c r="C350" t="str">
        <f t="shared" si="16"/>
        <v/>
      </c>
    </row>
    <row r="351" spans="3:3">
      <c r="C351" t="str">
        <f t="shared" si="16"/>
        <v/>
      </c>
    </row>
    <row r="352" spans="3:3">
      <c r="C352" t="str">
        <f t="shared" si="16"/>
        <v/>
      </c>
    </row>
    <row r="353" spans="3:3">
      <c r="C353" t="str">
        <f t="shared" si="16"/>
        <v/>
      </c>
    </row>
    <row r="354" spans="3:3">
      <c r="C354" t="str">
        <f t="shared" si="16"/>
        <v/>
      </c>
    </row>
    <row r="355" spans="3:3">
      <c r="C355" t="str">
        <f t="shared" si="16"/>
        <v/>
      </c>
    </row>
    <row r="356" spans="3:3">
      <c r="C356" t="str">
        <f t="shared" si="16"/>
        <v/>
      </c>
    </row>
    <row r="357" spans="3:3">
      <c r="C357" t="str">
        <f t="shared" si="16"/>
        <v/>
      </c>
    </row>
    <row r="358" spans="3:3">
      <c r="C358" t="str">
        <f t="shared" si="16"/>
        <v/>
      </c>
    </row>
    <row r="359" spans="3:3">
      <c r="C359" t="str">
        <f t="shared" si="16"/>
        <v/>
      </c>
    </row>
    <row r="360" spans="3:3">
      <c r="C360" t="str">
        <f t="shared" si="16"/>
        <v/>
      </c>
    </row>
    <row r="361" spans="3:3">
      <c r="C361" t="str">
        <f t="shared" si="16"/>
        <v/>
      </c>
    </row>
    <row r="362" spans="3:3">
      <c r="C362" t="str">
        <f t="shared" si="16"/>
        <v/>
      </c>
    </row>
    <row r="363" spans="3:3">
      <c r="C363" t="str">
        <f t="shared" si="16"/>
        <v/>
      </c>
    </row>
    <row r="364" spans="3:3">
      <c r="C364" t="str">
        <f t="shared" si="16"/>
        <v/>
      </c>
    </row>
    <row r="365" spans="3:3">
      <c r="C365" t="str">
        <f t="shared" si="16"/>
        <v/>
      </c>
    </row>
    <row r="366" spans="3:3">
      <c r="C366" t="str">
        <f t="shared" si="16"/>
        <v/>
      </c>
    </row>
    <row r="367" spans="3:3">
      <c r="C367" t="str">
        <f t="shared" si="16"/>
        <v/>
      </c>
    </row>
    <row r="368" spans="3:3">
      <c r="C368" t="str">
        <f t="shared" si="16"/>
        <v/>
      </c>
    </row>
    <row r="369" spans="3:3">
      <c r="C369" t="str">
        <f t="shared" si="16"/>
        <v/>
      </c>
    </row>
    <row r="370" spans="3:3">
      <c r="C370" t="str">
        <f t="shared" si="16"/>
        <v/>
      </c>
    </row>
    <row r="371" spans="3:3">
      <c r="C371" t="str">
        <f t="shared" si="16"/>
        <v/>
      </c>
    </row>
    <row r="372" spans="3:3">
      <c r="C372" t="str">
        <f t="shared" si="16"/>
        <v/>
      </c>
    </row>
    <row r="373" spans="3:3">
      <c r="C373" t="str">
        <f t="shared" si="16"/>
        <v/>
      </c>
    </row>
    <row r="374" spans="3:3">
      <c r="C374" t="str">
        <f t="shared" si="16"/>
        <v/>
      </c>
    </row>
    <row r="375" spans="3:3">
      <c r="C375" t="str">
        <f t="shared" si="16"/>
        <v/>
      </c>
    </row>
    <row r="376" spans="3:3">
      <c r="C376" t="str">
        <f t="shared" si="16"/>
        <v/>
      </c>
    </row>
    <row r="377" spans="3:3">
      <c r="C377" t="str">
        <f t="shared" si="16"/>
        <v/>
      </c>
    </row>
    <row r="378" spans="3:3">
      <c r="C378" t="str">
        <f t="shared" si="16"/>
        <v/>
      </c>
    </row>
    <row r="379" spans="3:3">
      <c r="C379" t="str">
        <f t="shared" si="16"/>
        <v/>
      </c>
    </row>
    <row r="380" spans="3:3">
      <c r="C380" t="str">
        <f t="shared" si="16"/>
        <v/>
      </c>
    </row>
    <row r="381" spans="3:3">
      <c r="C381" t="str">
        <f t="shared" si="16"/>
        <v/>
      </c>
    </row>
    <row r="382" spans="3:3">
      <c r="C382" t="str">
        <f t="shared" si="16"/>
        <v/>
      </c>
    </row>
    <row r="383" spans="3:3">
      <c r="C383" t="str">
        <f t="shared" si="16"/>
        <v/>
      </c>
    </row>
    <row r="384" spans="3:3">
      <c r="C384" t="str">
        <f t="shared" si="16"/>
        <v/>
      </c>
    </row>
    <row r="385" spans="3:3">
      <c r="C385" t="str">
        <f t="shared" si="16"/>
        <v/>
      </c>
    </row>
    <row r="386" spans="3:3">
      <c r="C386" t="str">
        <f t="shared" si="16"/>
        <v/>
      </c>
    </row>
    <row r="387" spans="3:3">
      <c r="C387" t="str">
        <f t="shared" si="16"/>
        <v/>
      </c>
    </row>
    <row r="388" spans="3:3">
      <c r="C388" t="str">
        <f t="shared" si="16"/>
        <v/>
      </c>
    </row>
    <row r="389" spans="3:3">
      <c r="C389" t="str">
        <f t="shared" ref="C389:C413" si="17">IF(A389="", "", TEXT(A389, "dddd"))</f>
        <v/>
      </c>
    </row>
    <row r="390" spans="3:3">
      <c r="C390" t="str">
        <f t="shared" si="17"/>
        <v/>
      </c>
    </row>
    <row r="391" spans="3:3">
      <c r="C391" t="str">
        <f t="shared" si="17"/>
        <v/>
      </c>
    </row>
    <row r="392" spans="3:3">
      <c r="C392" t="str">
        <f t="shared" si="17"/>
        <v/>
      </c>
    </row>
    <row r="393" spans="3:3">
      <c r="C393" t="str">
        <f t="shared" si="17"/>
        <v/>
      </c>
    </row>
    <row r="394" spans="3:3">
      <c r="C394" t="str">
        <f t="shared" si="17"/>
        <v/>
      </c>
    </row>
    <row r="395" spans="3:3">
      <c r="C395" t="str">
        <f t="shared" si="17"/>
        <v/>
      </c>
    </row>
    <row r="396" spans="3:3">
      <c r="C396" t="str">
        <f t="shared" si="17"/>
        <v/>
      </c>
    </row>
    <row r="397" spans="3:3">
      <c r="C397" t="str">
        <f t="shared" si="17"/>
        <v/>
      </c>
    </row>
    <row r="398" spans="3:3">
      <c r="C398" t="str">
        <f t="shared" si="17"/>
        <v/>
      </c>
    </row>
    <row r="399" spans="3:3">
      <c r="C399" t="str">
        <f t="shared" si="17"/>
        <v/>
      </c>
    </row>
    <row r="400" spans="3:3">
      <c r="C400" t="str">
        <f t="shared" si="17"/>
        <v/>
      </c>
    </row>
    <row r="401" spans="3:3">
      <c r="C401" t="str">
        <f t="shared" si="17"/>
        <v/>
      </c>
    </row>
    <row r="402" spans="3:3">
      <c r="C402" t="str">
        <f t="shared" si="17"/>
        <v/>
      </c>
    </row>
    <row r="403" spans="3:3">
      <c r="C403" t="str">
        <f t="shared" si="17"/>
        <v/>
      </c>
    </row>
    <row r="404" spans="3:3">
      <c r="C404" t="str">
        <f t="shared" si="17"/>
        <v/>
      </c>
    </row>
    <row r="405" spans="3:3">
      <c r="C405" t="str">
        <f t="shared" si="17"/>
        <v/>
      </c>
    </row>
    <row r="406" spans="3:3">
      <c r="C406" t="str">
        <f t="shared" si="17"/>
        <v/>
      </c>
    </row>
    <row r="407" spans="3:3">
      <c r="C407" t="str">
        <f t="shared" si="17"/>
        <v/>
      </c>
    </row>
    <row r="408" spans="3:3">
      <c r="C408" t="str">
        <f t="shared" si="17"/>
        <v/>
      </c>
    </row>
    <row r="409" spans="3:3">
      <c r="C409" t="str">
        <f t="shared" si="17"/>
        <v/>
      </c>
    </row>
    <row r="410" spans="3:3">
      <c r="C410" t="str">
        <f t="shared" si="17"/>
        <v/>
      </c>
    </row>
    <row r="411" spans="3:3">
      <c r="C411" t="str">
        <f t="shared" si="17"/>
        <v/>
      </c>
    </row>
    <row r="412" spans="3:3">
      <c r="C412" t="str">
        <f t="shared" si="17"/>
        <v/>
      </c>
    </row>
    <row r="413" spans="3:3">
      <c r="C413" t="str">
        <f t="shared" si="17"/>
        <v/>
      </c>
    </row>
    <row r="200000" spans="1:4">
      <c r="A200000" s="20" t="s">
        <v>14</v>
      </c>
      <c r="B200000" s="20"/>
      <c r="C200000" s="20"/>
      <c r="D200000" s="20"/>
    </row>
  </sheetData>
  <mergeCells count="5">
    <mergeCell ref="N3:V23"/>
    <mergeCell ref="A1:L2"/>
    <mergeCell ref="X3:AB18"/>
    <mergeCell ref="N1:AB2"/>
    <mergeCell ref="A200000:D200000"/>
  </mergeCells>
  <dataValidations count="1">
    <dataValidation type="time" allowBlank="1" showInputMessage="1" showErrorMessage="1" sqref="D4:E104" xr:uid="{E7ADE6C2-E3CD-489D-B2B4-5AFFA5386ECE}">
      <formula1>0</formula1>
      <formula2>0.999305555555556</formula2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Bajan</dc:creator>
  <cp:lastModifiedBy>Angela Bajan</cp:lastModifiedBy>
  <dcterms:created xsi:type="dcterms:W3CDTF">2026-05-13T10:43:14Z</dcterms:created>
  <dcterms:modified xsi:type="dcterms:W3CDTF">2026-05-27T11:09:30Z</dcterms:modified>
</cp:coreProperties>
</file>